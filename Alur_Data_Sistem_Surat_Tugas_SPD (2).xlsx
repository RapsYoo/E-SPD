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r Data" sheetId="1" state="visible" r:id="rId3"/>
    <sheet name="Pemetaan Template" sheetId="2" state="visible" r:id="rId4"/>
    <sheet name="Ringkasan" sheetId="3" state="visible" r:id="rId5"/>
    <sheet name="Catatan Perubahan" sheetId="4" state="visible" r:id="rId6"/>
  </sheets>
  <definedNames>
    <definedName function="false" hidden="false" localSheetId="0" name="_xlnm.Print_Titles" vbProcedure="false">'Alur Data'!$4:$4</definedName>
    <definedName function="false" hidden="true" localSheetId="0" name="_xlnm._FilterDatabase" vbProcedure="false">'Alur Data'!$A$4:$I$24</definedName>
    <definedName function="false" hidden="true" localSheetId="3" name="_xlnm._FilterDatabase" vbProcedure="false">'Catatan Perubahan'!$A$4:$F$45</definedName>
    <definedName function="false" hidden="false" localSheetId="1" name="_xlnm.Print_Titles" vbProcedure="false">'Pemetaan Template'!$4:$4</definedName>
    <definedName function="false" hidden="true" localSheetId="1" name="_xlnm._FilterDatabase" vbProcedure="false">'Pemetaan Template'!$A$4:$G$76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<sst xmlns="http://schemas.openxmlformats.org/spreadsheetml/2006/main" count="836" uniqueCount="417">
  <si>
    <t xml:space="preserve">ALUR DATA SISTEM → OUTPUT DOKUMEN SURAT TUGAS, SPD, LAMPIRAN &amp; VISUM</t>
  </si>
  <si>
    <t xml:space="preserve">Diperbarui sesuai demo terbaru E-Surat &amp; SPD Online (Pusdiklat Kemlu) dan disesuaikan dengan 4 template output: Format ST, SPD (PMK 113/PMK.05/2012), Lampiran SPD, dan Visum Rampungan.</t>
  </si>
  <si>
    <t xml:space="preserve">Cara update: edit langsung teks di sel; Status Pengisian &amp; Acuan berupa dropdown. Tambah baris baru di dalam tabel agar filter &amp; ringkasan ikut terhitung. Pemetaan per field template ada di sheet 'Pemetaan Template'. Baris berlabel Acuan "Template (usulan)" belum ada di demo.</t>
  </si>
  <si>
    <t xml:space="preserve">No</t>
  </si>
  <si>
    <t xml:space="preserve">Tahap di Sistem</t>
  </si>
  <si>
    <t xml:space="preserve">Aktor</t>
  </si>
  <si>
    <t xml:space="preserve">Bagian Form</t>
  </si>
  <si>
    <t xml:space="preserve">Data yang Diinput User / Source</t>
  </si>
  <si>
    <t xml:space="preserve">Field pada Output Dokumen (ST / SPD / Lampiran / Visum)</t>
  </si>
  <si>
    <t xml:space="preserve">Metode Validasi / Logika Sistem</t>
  </si>
  <si>
    <t xml:space="preserve">Status Pengisian</t>
  </si>
  <si>
    <t xml:space="preserve">Acuan</t>
  </si>
  <si>
    <t xml:space="preserve">1. Upload Nota / Undangan</t>
  </si>
  <si>
    <t xml:space="preserve">Sespalu / Pihak Eksternal</t>
  </si>
  <si>
    <t xml:space="preserve">Kategori Perjalanan Dinas</t>
  </si>
  <si>
    <t xml:space="preserve">Kategori Perjalanan Dinas: Dalam Negeri (wilayah Indonesia) atau Luar Negeri / LN (perlu Izin Setneg &amp; Paspor Dinas)</t>
  </si>
  <si>
    <t xml:space="preserve">[Dok 1 ST] "di (Tempat Kegiatan)" memuat Kota, Negara &amp; No Izin Setneg jika LN
[Dok 2 SPD] Poin 4 (tambahan "Luar Negeri: negara"), Poin 6b Tempat Tujuan
[Dok 4 Visum] Ke / Tiba di / Berangkat dari (tujuan LN)
Menampilkan field khusus LN (Negara Tujuan, Nomor Izin Setneg) di Tahap 3 dan upload Izin Setneg di Tahap 1</t>
  </si>
  <si>
    <t xml:space="preserve">Radio button (default Dalam Negeri). Jika LN: label tujuan menjadi "Kota / Venue Tujuan LN", muncul field Negara Tujuan &amp; Nomor Izin Setneg, default angkutan Perjalanan Udara; badge kategori di header berubah</t>
  </si>
  <si>
    <t xml:space="preserve">Input Manual</t>
  </si>
  <si>
    <t xml:space="preserve">Demo</t>
  </si>
  <si>
    <t xml:space="preserve">Data Nota / Undangan</t>
  </si>
  <si>
    <t xml:space="preserve">Sumber Nota/Undangan (Pihak Eksternal / Internal Sespalu-Kemlu), Nomor Nota/Undangan, Instansi/Unit Pengirim, Tanggal Undangan, Perihal Undangan/Kegiatan</t>
  </si>
  <si>
    <t xml:space="preserve">[Dok 1 ST] "Dalam rangka (Tujuan Kegiatan)" = perihal; "sesuai (Undangan/Nota Dinas) (Asal Surat) Nomor (Nomor) tanggal (Tanggal)" = jenis surat (Eksternal = Undangan, Internal = Nota Dinas), Instansi Pengirim, Nomor, Tanggal Undangan; "untuk menghadiri (Nama Kegiatan)" = perihal
[Dok 2 SPD] Poin 4 (Maksud Perjalanan Dinas)
[Dok 4 Visum] "Kepala [Instansi Tujuan]" pada blok Tiba di / Berangkat dari = Instansi/Unit Pengirim
[Tahap 2] Ringkasan Nota untuk Kapus; [Tahap 4] Maksud Kegiatan untuk TU</t>
  </si>
  <si>
    <t xml:space="preserve">Field bertanda * wajib diisi (required). Tujuan Kegiatan dan Nama Kegiatan pada ST sama-sama diambil dari Perihal Undangan (belum ada isian terpisah). Tanggal tampil format ISO (2026-08-20)</t>
  </si>
  <si>
    <t xml:space="preserve">Demo &amp; Template</t>
  </si>
  <si>
    <t xml:space="preserve">Upload Berkas</t>
  </si>
  <si>
    <t xml:space="preserve">File PDF Scan Undangan (maks 10MB); File Izin Setneg / Keppres (khusus LN)</t>
  </si>
  <si>
    <t xml:space="preserve">Arsip berkas sumber penugasan (tidak dicetak pada dokumen output). Nomor Izin Setneg diinput di Tahap 3</t>
  </si>
  <si>
    <t xml:space="preserve">Upload PDF maks 10MB; Izin Setneg/Keppres wajib untuk Dinas LN (ditandai *). Tombol "Kirim ke Kepala Pusat (Kapus)" melanjutkan ke Tahap 2</t>
  </si>
  <si>
    <t xml:space="preserve">2. Disposisi Kapus</t>
  </si>
  <si>
    <t xml:space="preserve">Kapus (Kepala Pusat)</t>
  </si>
  <si>
    <t xml:space="preserve">Keputusan &amp; Catatan Disposisi</t>
  </si>
  <si>
    <t xml:space="preserve">Keputusan Tindak Lanjut: Setuju/Ya (lanjut buat ST &amp; SPD), Minta Revisi (kembalikan ke Sespalu), Hentikan/Stop (tidak ditindaklanjuti); Catatan Disposisi / Instruksi Penunjukan Tim</t>
  </si>
  <si>
    <t xml:space="preserve">Disposisi Kapus tersimpan sebagai dasar pengerjaan; tidak tercetak pada dokumen output. Kapus meninjau Ringkasan Nota/Undangan (Nomor, Pengirim, Perihal) sebelum memutuskan</t>
  </si>
  <si>
    <t xml:space="preserve">Radio button 3 pilihan (default Setuju/Ya); catatan disposisi berupa textarea (di demo bersifat opsional). Tombol "Proses Disposisi" melanjutkan ke Tahap 3</t>
  </si>
  <si>
    <t xml:space="preserve">Approval / Action</t>
  </si>
  <si>
    <t xml:space="preserve">3. Draft Rincian Tugas (Sespalu)</t>
  </si>
  <si>
    <t xml:space="preserve">Sespalu</t>
  </si>
  <si>
    <t xml:space="preserve">Identitas PPK &amp; Pengiriman Draft</t>
  </si>
  <si>
    <t xml:space="preserve">Pilih Pejabat Pembuat Komitmen (PPK) dari dropdown (di demo: GEORGE JUNIOR atau PIPIN ZAENAL HAPINUDIN); Nama &amp; NIP terisi otomatis. Nomor ST &amp; SPD tidak diisi di tahap ini (diisi TU pada Tahap 4)</t>
  </si>
  <si>
    <t xml:space="preserve">[Dok 2 SPD] Poin 1 (Pejabat Pembuat Komitmen), Nama &amp; NIP pada blok TTD
[Dok 3 Lampiran] Blok Mengetahui/Menyetujui PPK (Nama &amp; NIP)
[Dok 4 Visum] Blok I dan Blok VI (Nama &amp; NIP PPK), pada "Telah diperiksa..."</t>
  </si>
  <si>
    <t xml:space="preserve">Dropdown wajib dipilih (required); Nama dan NIP tersimpan bersama. Form memuat catatan penomoran oleh TU. Tombol "Kirim Draft ke Tata Usaha (TU)" melanjutkan ke Tahap 4</t>
  </si>
  <si>
    <t xml:space="preserve">Auto-populated</t>
  </si>
  <si>
    <t xml:space="preserve">Data Tetap Dokumen</t>
  </si>
  <si>
    <t xml:space="preserve">Tidak ada input: kop Kemlu, Kepala Pusat penandatangan ST (KHASAN ASHARI, NIP 19750617 200003 1 001), Tembusan ST, Lembar &amp; Kode No SPD, kota dikeluarkan, Satuan Kerja &amp; Kementerian pada Lampiran, teks baku</t>
  </si>
  <si>
    <t xml:space="preserve">[Dok 1 ST] Kop, paragraf baku, Dikeluarkan di Jakarta, TTD &amp; NIP Kepala Pusat, Tembusan 1-3 (Administrator AMS/PMS, Yang bersangkutan, Arsip)
[Dok 2 SPD] Rujukan PMK 113/PMK.05/2012, KEMENTERIAN LUAR NEGERI (PUSAT PENDIDIKAN DAN PELATIHAN), Lembar: 1, Kode No: DL-SPD/2026, Dikeluarkan di: Jakarta, "*) coret yang tidak perlu"
[Dok 3 Lampiran] Rujukan Lampiran IV Peraturan Dirjen Perbendaharaan, Satuan Kerja, Kementerian Negara/Lembaga
[Dok 4 Visum] Kop, "- 2 -", teks "Telah diperiksa...", Blok VIII Perhatian</t>
  </si>
  <si>
    <t xml:space="preserve">Data tetap di demo (belum dari master). Tanggal surat pada ST, SPD, dan Lampiran juga tetap (lihat baris Tanggal Surat Tugas &amp; SPD di Tahap 4)</t>
  </si>
  <si>
    <t xml:space="preserve">System Generated</t>
  </si>
  <si>
    <t xml:space="preserve">Personel yang Ditugaskan (Multi-Pegawai)</t>
  </si>
  <si>
    <t xml:space="preserve">Pilih Pegawai dari Master Data Pusdiklat Kemlu lalu "Tambah Pegawai" (bisa lebih dari satu); hapus pegawai dari daftar</t>
  </si>
  <si>
    <t xml:space="preserve">[Dok 1 ST] Tabel (No, Nama/NIP, Pangkat/Golongan, Jabatan)
[Dok 2 SPD] Poin 2 (Nama &amp; NIP pegawai pertama, ditambah "dkk" jika lebih dari 1), Poin 3a/3b (Pangkat/Golongan, Jabatan/Instansi; "Terlampir" jika lebih dari 1 pegawai)
[Dok 3 Lampiran] Kolom Nama Pelaksana SPD / NIP / Jabatan / Pangkat Golongan
[Tahap 4] Ringkasan Personel Ditugaskan ("Nama, dkk (N orang)")</t>
  </si>
  <si>
    <t xml:space="preserve">Minimal 1 pegawai; NIP yang sama tidak boleh ditambahkan dua kali. Pangkat &amp; jabatan di-snapshot saat pegawai ditambahkan. Kolom Status Profil: "Sesuai Master" atau "Snapshot Terkunci"</t>
  </si>
  <si>
    <t xml:space="preserve">Master Pegawai &amp; Promosi (Snapshot Lock)</t>
  </si>
  <si>
    <t xml:space="preserve">Update Pangkat/Golongan &amp; Jabatan pegawai di Master Data (simulasi kenaikan pangkat)</t>
  </si>
  <si>
    <t xml:space="preserve">Tidak mengubah ST/SPD yang sudah memakai snapshot; hanya mengubah dropdown Master dan penanda Status Profil pada draft</t>
  </si>
  <si>
    <t xml:space="preserve">Aturan Imutabilitas Snapshot: perubahan Master tidak mengubah profil pangkat/jabatan pada dokumen lama. Badge "Snapshot Terkunci" muncul jika Master berbeda dari snapshot</t>
  </si>
  <si>
    <t xml:space="preserve">Tingkat Biaya &amp; Angkutan</t>
  </si>
  <si>
    <t xml:space="preserve">Tingkat Biaya SPD (A / B / C), Alat Angkutan (Perjalanan Darat / Perjalanan Udara-Tiket / Kendaraan Dinas)</t>
  </si>
  <si>
    <t xml:space="preserve">[Dok 2 SPD] Poin 3c (Tingkat Biaya; "Terlampir" jika lebih dari 1 pegawai), Poin 5 (Alat angkutan yang dipergunakan)
[Dok 3 Lampiran] Kolom Tingkat Biaya Perjalanan Dinas dan Alat Angkutan yang digunakan (baris pegawai berikutnya "idem")</t>
  </si>
  <si>
    <t xml:space="preserve">Dropdown pilihan tetap; Tingkat Biaya &amp; Angkutan wajib (*)</t>
  </si>
  <si>
    <t xml:space="preserve">Lokasi &amp; Tanggal Perjalanan</t>
  </si>
  <si>
    <t xml:space="preserve">Tempat Berangkat, Tempat/Kota Tujuan, Tanggal Berangkat, Tanggal Harus Kembali</t>
  </si>
  <si>
    <t xml:space="preserve">[Dok 1 ST] "di (Tempat Kegiatan)" dan "pada tanggal (Tanggal Kegiatan)" (Tgl Berangkat s.d Tgl Kembali)
[Dok 2 SPD] Poin 6a/6b (Berangkat/Tujuan), Poin 7b/7c (Tgl Berangkat / Tgl harus kembali)
[Dok 3 Lampiran] Tanggal Penyelenggaraan, Kota Tempat Penyelenggaraan, kolom Tempat Kedudukan Asal (baris berikutnya "idem"), Tanggal Berangkat &amp; Kembali
[Dok 4 Visum] Blok I (Berangkat dari tempat kedudukan / Ke / Pada tanggal), Blok II (Tiba di / Pada tanggal), blok kepulangan (Berangkat dari / Ke / Pada tanggal), Blok VI (Tiba di tempat kedudukan / Pada tanggal)
[Tahap 4] Ringkasan Lokasi Tujuan</t>
  </si>
  <si>
    <t xml:space="preserve">Field wajib diisi (required); tanggal memakai date picker. Tanggal tampil format ISO (2026-08-27) di dokumen</t>
  </si>
  <si>
    <t xml:space="preserve">Durasi Perjalanan (Otomatis)</t>
  </si>
  <si>
    <t xml:space="preserve">Tidak diinput; dihitung dari Tanggal Berangkat &amp; Tanggal Harus Kembali</t>
  </si>
  <si>
    <t xml:space="preserve">[Dok 2 SPD] Poin 7a ("N (terbilang) hari")
[Dok 3 Lampiran] Kolom Lama dinas (hari), tiap baris pegawai
[Tahap 4] Ringkasan Durasi Dinas ("N hari (tgl s.d tgl)")
Teks kalkulasi durasi tampil langsung di form Tahap 3</t>
  </si>
  <si>
    <t xml:space="preserve">Lama Hari = (Tgl Kembali - Tgl Berangkat) + 1; dihitung ulang tiap tanggal diubah dan hanya jika Tgl Kembali &gt;= Tgl Berangkat. Terbilang di demo baru tersedia sampai sepuluh, di atas itu tampil angka</t>
  </si>
  <si>
    <t xml:space="preserve">Khusus Luar Negeri</t>
  </si>
  <si>
    <t xml:space="preserve">Negara Tujuan (Luar Negeri), Nomor Surat Izin SETNEG (field tampil hanya jika kategori = Luar Negeri)</t>
  </si>
  <si>
    <t xml:space="preserve">[Dok 1 ST] "di (Tempat Kegiatan)" menjadi "Kota, Negara (Izin Setneg No: ...)"
[Dok 2 SPD] Poin 4 ("Luar Negeri: negara"), Poin 6b (Kota + Negara + No Izin Setneg)
[Dok 4 Visum] Ke / Tiba di / Berangkat dari (Kota + Negara + No Izin Setneg)
[Tahap 4] Ringkasan Lokasi Tujuan</t>
  </si>
  <si>
    <t xml:space="preserve">Tampil &amp; ditandai wajib (*) hanya untuk kategori Luar Negeri; tersembunyi untuk Dalam Negeri</t>
  </si>
  <si>
    <t xml:space="preserve">Pembebanan Anggaran</t>
  </si>
  <si>
    <t xml:space="preserve">Tidak ada input di demo: Instansi &amp; Akun pembebanan (DIPA Pusat Pendidikan dan Pelatihan TA 2026)</t>
  </si>
  <si>
    <t xml:space="preserve">[Dok 1 ST] Paragraf "dibebankan pada DIPA Pusat Pendidikan dan Pelatihan Tahun Anggaran 2026"
[Dok 2 SPD] Poin 9a (Instansi), Poin 9b (Akun)</t>
  </si>
  <si>
    <t xml:space="preserve">Data tetap pada demo; Tahun Anggaran pada ST tetap 2026. Perlu dikonfirmasi apakah ke depan dipilih dari Master DIPA Unit Kerja</t>
  </si>
  <si>
    <t xml:space="preserve">4. Penomoran Surat (TU)</t>
  </si>
  <si>
    <t xml:space="preserve">TU (Tata Usaha)</t>
  </si>
  <si>
    <t xml:space="preserve">Ringkasan Draft dari Sespalu</t>
  </si>
  <si>
    <t xml:space="preserve">Tidak diinput; TU meninjau: Maksud Kegiatan, Lokasi Tujuan, Personel Ditugaskan, Durasi Dinas</t>
  </si>
  <si>
    <t xml:space="preserve">Kartu "Ringkasan Draft Tugas dari Sespalu" di halaman TU (tidak tercetak pada dokumen)</t>
  </si>
  <si>
    <t xml:space="preserve">Terisi otomatis dari Tahap 1 &amp; 3; personel lebih dari 1 ditampilkan "Nama, dkk (N orang)"; lokasi LN menyertakan negara &amp; No Izin Setneg. Tombol "Kembali ke Tahap 3" tersedia</t>
  </si>
  <si>
    <t xml:space="preserve">Penomoran Resmi Surat</t>
  </si>
  <si>
    <t xml:space="preserve">Nomor Surat Tugas Resmi (diisi TU), Nomor SPD Resmi (diisi TU), bersumber dari Buku Agenda Tata Naskah Dinas</t>
  </si>
  <si>
    <t xml:space="preserve">[Dok 1 ST] Nomor Surat Tugas
[Dok 2 SPD] Nomor SPD pada header; Poin 10 Keterangan lain-lain ("Surat Tugas No. ... tanggal ...")
[Dok 3 Lampiran] Nomor (header), kolom Surat Tugas Nomor &amp; Tanggal (baris pegawai berikutnya "idem")</t>
  </si>
  <si>
    <t xml:space="preserve">Kedua nomor wajib diisi (required). Format standar ST: ST/KP/[NO_URUT]/[BULAN]/[TAHUN]/[KODE_UNIT]; SPD: [NO_URUT] /DL-SPD/[BULAN_ROMAWI]/[TAHUN]/[KODE_UNIT]. Tombol "Simpan Penomoran &amp; Penerbitan Dokumen" melanjutkan ke Tahap 5 (dokumen siap cetak)</t>
  </si>
  <si>
    <t xml:space="preserve">Tanggal Surat Tugas &amp; SPD (usulan)</t>
  </si>
  <si>
    <t xml:space="preserve">Tanggal Surat Tugas / tanggal SPD dikeluarkan (diusulkan diisi TU bersama penomoran; belum ada input di demo)</t>
  </si>
  <si>
    <t xml:space="preserve">[Dok 1 ST] Pada tanggal (Tanggal ST)
[Dok 2 SPD] Tanggal dikeluarkan; Poin 10 ("... tanggal ...")
[Dok 3 Lampiran] Tanggal (header), kolom Surat Tugas Tanggal, footer "Jakarta, (tanggal)"</t>
  </si>
  <si>
    <t xml:space="preserve">Usulan: wajib diisi saat penomoran. Di demo saat ini tetap 21 Agustus 2026 (ST &amp; Lampiran) dan "Mei 2026" (SPD); SPD Poin 10 dan Lampiran memakai Tanggal Berangkat sebagai tanggal Surat Tugas</t>
  </si>
  <si>
    <t xml:space="preserve">Template (usulan)</t>
  </si>
  <si>
    <t xml:space="preserve">5. Output &amp; Monitoring TTD PPK</t>
  </si>
  <si>
    <t xml:space="preserve">Pratinjau &amp; Penerimaan Output</t>
  </si>
  <si>
    <t xml:space="preserve">Tidak diinput; seluruh field terisi dari Tahap 1-4</t>
  </si>
  <si>
    <t xml:space="preserve">[Dok 1 ST] Surat Tugas (Format_ST)
[Dok 2 SPD] SPD Lembar 1, 10 poin (PMK 113/PMK.05/2012)
[Dok 3 Lampiran] Lampiran SPD / Daftar Peserta Kegiatan (Lampiran IV Perdirjen Perbendaharaan)
[Dok 4 Visum] Lembar Visum Rampungan (blok I-VIII)</t>
  </si>
  <si>
    <t xml:space="preserve">Empat tab dokumen, isi dirender otomatis dari data Tahap 1-4. Dokumen sudah bernomor resmi dari TU dan dapat langsung dicetak tanpa menunggu TTD PPK</t>
  </si>
  <si>
    <t xml:space="preserve">Cetak &amp; Surat Baru</t>
  </si>
  <si>
    <t xml:space="preserve">Aksi: "Cetak / Download PDF" dan "Buat Surat Baru"</t>
  </si>
  <si>
    <t xml:space="preserve">[All Docs] Cetak/unduh PDF dokumen yang sedang tampil di area cetak; "Buat Surat Baru" kembali ke Tahap 1</t>
  </si>
  <si>
    <t xml:space="preserve">Cetak memakai fungsi print browser (Save as PDF); hanya area dokumen yang dicetak. Tidak bergantung pada status TTD PPK</t>
  </si>
  <si>
    <t xml:space="preserve">PPK (Pejabat Pembuat Komitmen)</t>
  </si>
  <si>
    <t xml:space="preserve">Status TTD / Stempel PPK (Monitoring)</t>
  </si>
  <si>
    <t xml:space="preserve">Tidak diinput; PPK memantau status penandatanganan surat</t>
  </si>
  <si>
    <t xml:space="preserve">Badge status di panel Tahap 5 (tidak tercetak): "Menunggu TTD PPK (Proses Tetap Berjalan)" atau "Sudah Ditandatangani PPK (Approved)"</t>
  </si>
  <si>
    <t xml:space="preserve">Bersifat monitoring &amp; non-blocking; default "Menunggu TTD PPK", berubah otomatis mengikuti aksi TTD PPK</t>
  </si>
  <si>
    <t xml:space="preserve">TTD Digital PPK (Non-Blocking)</t>
  </si>
  <si>
    <t xml:space="preserve">Aksi PPK: "Sematkan TTD Digital PPK" atau "Batalkan TTD PPK" (disimulasikan pada demo)</t>
  </si>
  <si>
    <t xml:space="preserve">Stempel digital "VERIFIED &amp; APPROVED - PPK KEMLU - DIGITAL STAMP" pada area dokumen; hilang jika TTD dibatalkan</t>
  </si>
  <si>
    <t xml:space="preserve">Proses persuratan (penomoran, cetak, penerbitan) tetap berjalan meskipun PPK belum menandatangani. Satu tombol berlaku untuk seluruh dokumen; pada template PPK menandatangani SPD, Lampiran, dan Visum, sedangkan ST oleh Kepala Pusat</t>
  </si>
  <si>
    <t xml:space="preserve">PEMETAAN FIELD TEMPLATE OUTPUT → SUMBER DATA DI ALUR</t>
  </si>
  <si>
    <t xml:space="preserve">Setiap bagian pada 4 template (Format_ST, SPD, Lampiran, Draft_Rampungan/Visum) dipetakan ke tahap &amp; field input di Alur Data, beserta kondisinya pada demo terbaru.</t>
  </si>
  <si>
    <t xml:space="preserve">Kondisi di Demo: Terhubung = terisi dari input · Data tetap = teks/angka baku di dokumen · Belum ada input = template butuh data tetapi belum ada isiannya · Berbeda dari template = hasil di demo tidak sama dengan template.</t>
  </si>
  <si>
    <t xml:space="preserve">Dokumen</t>
  </si>
  <si>
    <t xml:space="preserve">Bagian / Field di Template</t>
  </si>
  <si>
    <t xml:space="preserve">Sumber Data di Alur (Tahap · Field)</t>
  </si>
  <si>
    <t xml:space="preserve">Diisi Oleh</t>
  </si>
  <si>
    <t xml:space="preserve">Kondisi di Demo</t>
  </si>
  <si>
    <t xml:space="preserve">Keterangan / Selisih</t>
  </si>
  <si>
    <t xml:space="preserve">Surat Tugas (ST)</t>
  </si>
  <si>
    <t xml:space="preserve">Kop: logo &amp; KEMENTERIAN LUAR NEGERI / REPUBLIK INDONESIA</t>
  </si>
  <si>
    <t xml:space="preserve">Data tetap</t>
  </si>
  <si>
    <t xml:space="preserve">Sistem (data tetap)</t>
  </si>
  <si>
    <t xml:space="preserve">Logo di demo masih kotak teks "KEMLU" (placeholder), bukan logo resmi</t>
  </si>
  <si>
    <t xml:space="preserve">Nomor: (Nomor)</t>
  </si>
  <si>
    <t xml:space="preserve">Tahap 4 · Nomor Surat Tugas Resmi</t>
  </si>
  <si>
    <t xml:space="preserve">TU</t>
  </si>
  <si>
    <t xml:space="preserve">Terhubung</t>
  </si>
  <si>
    <t xml:space="preserve">Dalam rangka (Tujuan Kegiatan)</t>
  </si>
  <si>
    <t xml:space="preserve">Tahap 1 · Perihal Undangan / Kegiatan</t>
  </si>
  <si>
    <t xml:space="preserve">Nama Kegiatan (baris di bawah) diambil dari isian yang sama, sehingga kalimat bisa terbaca berulang. Belum ada isian Tujuan Kegiatan dan Nama Kegiatan terpisah</t>
  </si>
  <si>
    <t xml:space="preserve">sesuai (Undangan/Nota Dinas)</t>
  </si>
  <si>
    <t xml:space="preserve">Tahap 1 · Sumber Nota/Undangan (Eksternal = Undangan, Internal = Nota Dinas)</t>
  </si>
  <si>
    <t xml:space="preserve">(Asal Surat)</t>
  </si>
  <si>
    <t xml:space="preserve">Tahap 1 · Instansi / Unit Pengirim</t>
  </si>
  <si>
    <t xml:space="preserve">Nomor (Nomor Undangan/Nota Dinas)</t>
  </si>
  <si>
    <t xml:space="preserve">Tahap 1 · Nomor Nota / Undangan</t>
  </si>
  <si>
    <t xml:space="preserve">tanggal (Tanggal Undangan/Nota Dinas)</t>
  </si>
  <si>
    <t xml:space="preserve">Tahap 1 · Tanggal Undangan</t>
  </si>
  <si>
    <t xml:space="preserve">Tabel No | Nama/NIP | Pangkat/Golongan | Jabatan</t>
  </si>
  <si>
    <t xml:space="preserve">Tahap 3 · Personel yang Ditugaskan (snapshot)</t>
  </si>
  <si>
    <t xml:space="preserve">Satu baris per pegawai</t>
  </si>
  <si>
    <t xml:space="preserve">untuk menghadiri (Nama Kegiatan)</t>
  </si>
  <si>
    <t xml:space="preserve">Lihat catatan pada Tujuan Kegiatan</t>
  </si>
  <si>
    <t xml:space="preserve">di (Tempat Kegiatan)</t>
  </si>
  <si>
    <t xml:space="preserve">Tahap 3 · Tempat/Kota Tujuan (LN: + Negara Tujuan &amp; Nomor Izin Setneg)</t>
  </si>
  <si>
    <t xml:space="preserve">pada tanggal (Tanggal Kegiatan)</t>
  </si>
  <si>
    <t xml:space="preserve">Tahap 3 · Tanggal Berangkat s.d Tanggal Harus Kembali</t>
  </si>
  <si>
    <t xml:space="preserve">Memakai rentang tanggal perjalanan dinas; belum ada tanggal kegiatan tersendiri</t>
  </si>
  <si>
    <t xml:space="preserve">Pembebanan DIPA Pusat Pendidikan dan Pelatihan Tahun Anggaran (Tahun Anggaran)</t>
  </si>
  <si>
    <t xml:space="preserve">Tahap 3 · Pembebanan Anggaran</t>
  </si>
  <si>
    <t xml:space="preserve">Tahun Anggaran tetap 2026</t>
  </si>
  <si>
    <t xml:space="preserve">Paragraf baku "Surat tugas ini disusun..." dan "Demikian Surat Tugas ini..."</t>
  </si>
  <si>
    <t xml:space="preserve">Sudah sesuai template</t>
  </si>
  <si>
    <t xml:space="preserve">Dikeluarkan di Jakarta</t>
  </si>
  <si>
    <t xml:space="preserve">Pada tanggal (Tanggal ST)</t>
  </si>
  <si>
    <t xml:space="preserve">Usulan: Tahap 4 · Tanggal Surat Tugas &amp; SPD</t>
  </si>
  <si>
    <t xml:space="preserve">Belum ada input</t>
  </si>
  <si>
    <t xml:space="preserve">Di demo tetap 21 Agustus 2026</t>
  </si>
  <si>
    <t xml:space="preserve">Kepala Pusat Pendidikan dan Pelatihan: KHASAN ASHARI, NIP 19750617 200003 1 001</t>
  </si>
  <si>
    <t xml:space="preserve">Belum ada aksi TTD Kepala Pusat di alur; penandatangan ST pada template adalah Kepala Pusat</t>
  </si>
  <si>
    <t xml:space="preserve">Tembusan: 1. Administrator AMS/PMS, 2. Yang bersangkutan, 3. Arsip</t>
  </si>
  <si>
    <t xml:space="preserve">SPD Lembar 1</t>
  </si>
  <si>
    <t xml:space="preserve">Rujukan LAMPIRAN I PMK 113/PMK.05/2012 (kanan atas)</t>
  </si>
  <si>
    <t xml:space="preserve">KEMENTERIAN LUAR NEGERI (PUSAT PENDIDIKAN DAN PELATIHAN) + logo</t>
  </si>
  <si>
    <t xml:space="preserve">Lembar: 1</t>
  </si>
  <si>
    <t xml:space="preserve">Kode</t>
  </si>
  <si>
    <t xml:space="preserve">Berbeda dari template</t>
  </si>
  <si>
    <t xml:space="preserve">Template: "Kode : -"; demo: "Kode No: DL-SPD/2026"</t>
  </si>
  <si>
    <t xml:space="preserve">Nomor</t>
  </si>
  <si>
    <t xml:space="preserve">Tahap 4 · Nomor SPD Resmi</t>
  </si>
  <si>
    <t xml:space="preserve">1. Pejabat Pembuat Komitmen</t>
  </si>
  <si>
    <t xml:space="preserve">Tahap 3 · Pilih PPK (Nama)</t>
  </si>
  <si>
    <t xml:space="preserve">2. Nama/NIP Pegawai yang melaksanakan perjalanan dinas</t>
  </si>
  <si>
    <t xml:space="preserve">Tahap 3 · Personel (pegawai pertama; "dkk" jika lebih dari 1)</t>
  </si>
  <si>
    <t xml:space="preserve">Template: baris kedua poin 2 berisi "Terlampir" jika lebih dari 1 pegawai; demo menampilkan NIP pegawai pertama</t>
  </si>
  <si>
    <t xml:space="preserve">3a Pangkat dan Golongan, 3b Jabatan/Instansi, 3c Tingkat Biaya</t>
  </si>
  <si>
    <t xml:space="preserve">Tahap 3 · Personel &amp; Tingkat Biaya</t>
  </si>
  <si>
    <t xml:space="preserve">"Terlampir" jika lebih dari 1 pegawai (sesuai template); 1 pegawai menampilkan nilainya</t>
  </si>
  <si>
    <t xml:space="preserve">4. Maksud Perjalanan Dinas</t>
  </si>
  <si>
    <t xml:space="preserve">Tahap 1 · Perihal (LN: + negara)</t>
  </si>
  <si>
    <t xml:space="preserve">5. Alat angkutan yang dipergunakan</t>
  </si>
  <si>
    <t xml:space="preserve">Tahap 3 · Alat Angkutan</t>
  </si>
  <si>
    <t xml:space="preserve">6a Tempat berangkat, 6b Tempat tujuan</t>
  </si>
  <si>
    <t xml:space="preserve">Tahap 3 · Tempat Berangkat, Tempat/Kota Tujuan</t>
  </si>
  <si>
    <t xml:space="preserve">7a Lamanya Perjalanan Dinas</t>
  </si>
  <si>
    <t xml:space="preserve">Tahap 3 · Durasi otomatis</t>
  </si>
  <si>
    <t xml:space="preserve">Sistem (otomatis)</t>
  </si>
  <si>
    <t xml:space="preserve">Format "N (terbilang) hari" sesuai template; terbilang di demo baru sampai sepuluh</t>
  </si>
  <si>
    <t xml:space="preserve">7b Tanggal Berangkat, 7c Tanggal harus kembali/tiba di tempat baru *)</t>
  </si>
  <si>
    <t xml:space="preserve">Tahap 3 · Tanggal Berangkat, Tanggal Harus Kembali</t>
  </si>
  <si>
    <t xml:space="preserve">8. Pengikut: Nama / Tanggal Lahir / Keterangan (5 baris)</t>
  </si>
  <si>
    <t xml:space="preserve">Tidak ada input</t>
  </si>
  <si>
    <t xml:space="preserve">-</t>
  </si>
  <si>
    <t xml:space="preserve">Demo mencetak tabel kosong (2 baris "-"); input pengikut tidak ada di Tahap 3. Template menyediakan 5 baris</t>
  </si>
  <si>
    <t xml:space="preserve">9a Instansi, 9b Akun (Pembebanan Anggaran)</t>
  </si>
  <si>
    <t xml:space="preserve">Contoh template: a. Pusdiklat Kementerian Luar Negeri, b. kosong; demo mengisi keduanya dengan data tetap</t>
  </si>
  <si>
    <t xml:space="preserve">10. Keterangan lain-lain: Surat Tugas No. ... tanggal ...</t>
  </si>
  <si>
    <t xml:space="preserve">Tahap 4 · Nomor Surat Tugas + Tanggal Surat Tugas (usulan)</t>
  </si>
  <si>
    <t xml:space="preserve">Nomor terhubung; tanggal Surat Tugas belum ada input, demo memakai Tanggal Berangkat</t>
  </si>
  <si>
    <t xml:space="preserve">*) coret yang tidak perlu</t>
  </si>
  <si>
    <t xml:space="preserve">Dikeluarkan di: Jakarta</t>
  </si>
  <si>
    <t xml:space="preserve">Tanggal (dikeluarkan)</t>
  </si>
  <si>
    <t xml:space="preserve">Di demo tetap "Mei 2026"</t>
  </si>
  <si>
    <t xml:space="preserve">Pejabat Pembuat Komitmen: Nama, NIP, TTD</t>
  </si>
  <si>
    <t xml:space="preserve">Tahap 3 · Pilih PPK; Tahap 5 · TTD Digital PPK</t>
  </si>
  <si>
    <t xml:space="preserve">PPK</t>
  </si>
  <si>
    <t xml:space="preserve">TTD bersifat non-blocking</t>
  </si>
  <si>
    <t xml:space="preserve">Lampiran SPD</t>
  </si>
  <si>
    <t xml:space="preserve">Rujukan LAMPIRAN IV Peraturan Dirjen Perbendaharaan Nomor PER-22/PB/...</t>
  </si>
  <si>
    <t xml:space="preserve">Template: PER-22/PB/2013; demo: PER-22/PB/2011</t>
  </si>
  <si>
    <t xml:space="preserve">Lampiran SPD · Nomor</t>
  </si>
  <si>
    <t xml:space="preserve">Lampiran SPD · Tanggal</t>
  </si>
  <si>
    <t xml:space="preserve">DAFTAR PESERTA KEGIATAN : (nama kegiatan)</t>
  </si>
  <si>
    <t xml:space="preserve">Demo hanya menampilkan judul "DAFTAR PESERTA KEGIATAN" tanpa nama kegiatan</t>
  </si>
  <si>
    <t xml:space="preserve">TANGGAL PENYELENGGARAAN</t>
  </si>
  <si>
    <t xml:space="preserve">Tahap 3 · Tanggal Berangkat s.d Kembali</t>
  </si>
  <si>
    <t xml:space="preserve">Template memuat satu tanggal (tanggal mulai); demo memuat rentang</t>
  </si>
  <si>
    <t xml:space="preserve">KOTA TEMPAT PENYELENGGARAAN</t>
  </si>
  <si>
    <t xml:space="preserve">Tahap 3 · Tempat/Kota Tujuan</t>
  </si>
  <si>
    <t xml:space="preserve">SATUAN KERJA &amp; KEMENTERIAN NEGARA/LEMBAGA</t>
  </si>
  <si>
    <t xml:space="preserve">Pusat Pendidikan dan Pelatihan / Kementerian Luar Negeri</t>
  </si>
  <si>
    <t xml:space="preserve">No (urutan peserta)</t>
  </si>
  <si>
    <t xml:space="preserve">Urutan otomatis</t>
  </si>
  <si>
    <t xml:space="preserve">Nama Pelaksana SPD / NIP / Jabatan / Pangkat Golongan</t>
  </si>
  <si>
    <t xml:space="preserve">Tahap 3 · Personel</t>
  </si>
  <si>
    <t xml:space="preserve">Tempat Kedudukan Asal</t>
  </si>
  <si>
    <t xml:space="preserve">Tahap 3 · Tempat Berangkat</t>
  </si>
  <si>
    <t xml:space="preserve">Baris ke-2 dan seterusnya "idem"</t>
  </si>
  <si>
    <t xml:space="preserve">Tingkat Biaya Perjalanan Dinas</t>
  </si>
  <si>
    <t xml:space="preserve">Tahap 3 · Tingkat Biaya</t>
  </si>
  <si>
    <t xml:space="preserve">Alat Angkutan yang digunakan</t>
  </si>
  <si>
    <t xml:space="preserve">Surat Tugas · Nomor</t>
  </si>
  <si>
    <t xml:space="preserve">Tahap 4 · Nomor Surat Tugas</t>
  </si>
  <si>
    <t xml:space="preserve">Template memisah kolom Nomor dan Tanggal; demo menggabungkan "Surat Tugas No. ... tgl ..." dalam satu kolom</t>
  </si>
  <si>
    <t xml:space="preserve">Surat Tugas · Tanggal</t>
  </si>
  <si>
    <t xml:space="preserve">Demo memakai Tanggal Berangkat</t>
  </si>
  <si>
    <t xml:space="preserve">Tanggal Berangkat / Kembali</t>
  </si>
  <si>
    <t xml:space="preserve">Lama dinas (hari)</t>
  </si>
  <si>
    <t xml:space="preserve">Ket</t>
  </si>
  <si>
    <t xml:space="preserve">Kolom ada di tabel tetapi kosong dan belum punya input</t>
  </si>
  <si>
    <t xml:space="preserve">Jakarta, (tanggal)</t>
  </si>
  <si>
    <t xml:space="preserve">Mengetahui/Menyetujui: Pejabat Pembuat Komitmen (Nama, NIP, TTD)</t>
  </si>
  <si>
    <t xml:space="preserve">Visum Rampungan</t>
  </si>
  <si>
    <t xml:space="preserve">Kop Kemlu + "- 2 -"</t>
  </si>
  <si>
    <t xml:space="preserve">I. Berangkat dari (tempat kedudukan)</t>
  </si>
  <si>
    <t xml:space="preserve">I. Ke</t>
  </si>
  <si>
    <t xml:space="preserve">Tahap 3 · Tujuan (LN: + Negara &amp; Izin Setneg)</t>
  </si>
  <si>
    <t xml:space="preserve">I. Pada tanggal</t>
  </si>
  <si>
    <t xml:space="preserve">Tahap 3 · Tanggal Berangkat</t>
  </si>
  <si>
    <t xml:space="preserve">I. Pejabat Pembuat Komitmen (Nama, NIP, TTD)</t>
  </si>
  <si>
    <t xml:space="preserve">II. Tiba di / Pada tanggal</t>
  </si>
  <si>
    <t xml:space="preserve">Tahap 3 · Tujuan; Tanggal Berangkat</t>
  </si>
  <si>
    <t xml:space="preserve">II. Kepala [instansi tujuan] (nama, NIP, TTD)</t>
  </si>
  <si>
    <t xml:space="preserve">Tahap 1 · Instansi/Unit Pengirim (dipakai sebagai instansi tujuan)</t>
  </si>
  <si>
    <t xml:space="preserve">Instansi tujuan diasumsikan sama dengan pengirim undangan; nama &amp; NIP pejabat tujuan dikosongkan (diisi manual saat disahkan)</t>
  </si>
  <si>
    <t xml:space="preserve">Berangkat dari / ke / Pada tanggal / Kepala (kepulangan)</t>
  </si>
  <si>
    <t xml:space="preserve">Tahap 3 · Tujuan, Tanggal Kembali</t>
  </si>
  <si>
    <t xml:space="preserve">Baris "Ke" tetap Jakarta, belum mengikuti Tempat Berangkat</t>
  </si>
  <si>
    <t xml:space="preserve">III-V. Blok persinggahan (Tiba di / Berangkat dari)</t>
  </si>
  <si>
    <t xml:space="preserve">Template punya tiga pasang blok persinggahan (III, IV, V); demo hanya satu blok III kosong dan tanpa input persinggahan</t>
  </si>
  <si>
    <t xml:space="preserve">VI. Tiba di (tempat kedudukan) / Pada tanggal</t>
  </si>
  <si>
    <t xml:space="preserve">Tahap 3 · Tempat Berangkat; Tanggal Kembali</t>
  </si>
  <si>
    <t xml:space="preserve">VI. "Telah diperiksa..." + PPK (Nama, NIP, TTD)</t>
  </si>
  <si>
    <t xml:space="preserve">Data tetap; Tahap 3 · Pilih PPK; Tahap 5 · TTD Digital PPK</t>
  </si>
  <si>
    <t xml:space="preserve">VII. Catatan Lain-lain</t>
  </si>
  <si>
    <t xml:space="preserve">Kosong dan belum punya input</t>
  </si>
  <si>
    <t xml:space="preserve">VIII. PERHATIAN</t>
  </si>
  <si>
    <t xml:space="preserve">Susunan blok</t>
  </si>
  <si>
    <t xml:space="preserve">Template: dua kolom (kiri Tiba di, kanan Berangkat dari) per persinggahan II-V, lalu VI. Demo: blok I, II, Berangkat, III, VI dengan susunan berbeda</t>
  </si>
  <si>
    <t xml:space="preserve">Umum</t>
  </si>
  <si>
    <t xml:space="preserve">Format tanggal di semua dokumen</t>
  </si>
  <si>
    <t xml:space="preserve">Tahap 1 &amp; 3 · semua isian tanggal</t>
  </si>
  <si>
    <t xml:space="preserve">Demo menampilkan 2026-08-27; template memakai "19 Mei 2026" (ST, SPD) dan "19-May-26" (Lampiran)</t>
  </si>
  <si>
    <t xml:space="preserve">Penandatangan per dokumen</t>
  </si>
  <si>
    <t xml:space="preserve">Tahap 5 · TTD Digital PPK</t>
  </si>
  <si>
    <t xml:space="preserve">Template: ST ditandatangani Kepala Pusat; SPD, Lampiran, dan Visum oleh PPK. Demo: satu stempel PPK menutupi seluruh dokumen termasuk ST</t>
  </si>
  <si>
    <t xml:space="preserve">Ringkasan Alur Data Sistem</t>
  </si>
  <si>
    <t xml:space="preserve">Total Tahapan Sistem</t>
  </si>
  <si>
    <t xml:space="preserve">Total Baris Data</t>
  </si>
  <si>
    <t xml:space="preserve">Output Terintegrasi (dokumen)</t>
  </si>
  <si>
    <t xml:space="preserve">ST, SPD Lembar 1, Lampiran SPD, Visum Rampungan (diisi manual)</t>
  </si>
  <si>
    <t xml:space="preserve">Jumlah Baris</t>
  </si>
  <si>
    <t xml:space="preserve">Total</t>
  </si>
  <si>
    <t xml:space="preserve">Catatan: angka di atas terhitung otomatis dari sheet 'Alur Data'. Jumlah dokumen (B5) dan kolom Peran diisi manual.</t>
  </si>
  <si>
    <t xml:space="preserve">Peran dalam Alur</t>
  </si>
  <si>
    <t xml:space="preserve">Mengunggah nota/undangan (Tahap 1)</t>
  </si>
  <si>
    <t xml:space="preserve">Memberi disposisi keputusan (Tahap 2)</t>
  </si>
  <si>
    <t xml:space="preserve">Menyusun rincian tugas, PPK, personel, lokasi &amp; tanggal (Tahap 3), lalu mengirim draft ke TU</t>
  </si>
  <si>
    <t xml:space="preserve">Memberi penomoran resmi ST &amp; SPD (Tahap 4), menerima output dan mencetaknya (Tahap 5)</t>
  </si>
  <si>
    <t xml:space="preserve">Memantau surat dan menandatangani surat yang diperlukan; non-blocking, proses tetap berjalan tanpa TTD PPK (Tahap 5)</t>
  </si>
  <si>
    <t xml:space="preserve">Kesesuaian Demo dengan Template Output</t>
  </si>
  <si>
    <t xml:space="preserve">Catatan: dihitung otomatis dari sheet 'Pemetaan Template' (kolom Dokumen dan Kondisi di Demo).</t>
  </si>
  <si>
    <t xml:space="preserve">CATATAN PERUBAHAN</t>
  </si>
  <si>
    <t xml:space="preserve">Update 3 = demo terbaru + 4 template PDF · Update 2 = penomoran oleh TU &amp; TTD PPK non-blocking · Update 1 = tabel alur 7 tahap awal ke demo 5 tahap.</t>
  </si>
  <si>
    <t xml:space="preserve">Jenis: Baru = ada di demo saja · Diubah = ada di keduanya tetapi berbeda · Dihapus = tidak ada lagi di demo · Perlu Konfirmasi = perbedaan yang sebaiknya dicek ke tim/pembuat demo.</t>
  </si>
  <si>
    <t xml:space="preserve">Update</t>
  </si>
  <si>
    <t xml:space="preserve">Area</t>
  </si>
  <si>
    <t xml:space="preserve">Sebelumnya</t>
  </si>
  <si>
    <t xml:space="preserve">Sesudah</t>
  </si>
  <si>
    <t xml:space="preserve">Jenis</t>
  </si>
  <si>
    <t xml:space="preserve">Update 3</t>
  </si>
  <si>
    <t xml:space="preserve">Dokumen output</t>
  </si>
  <si>
    <t xml:space="preserve">Output ST, SPD, Lampiran, dan Visum berformat sederhana</t>
  </si>
  <si>
    <t xml:space="preserve">Output mengikuti 4 template resmi (Format_ST, SPD PMK 113/PMK.05/2012, Lampiran IV Perdirjen, Draft Rampungan/Visum); tab keempat bernama "Lembar Visum Rampungan". Pemetaan lengkap ada di sheet Pemetaan Template</t>
  </si>
  <si>
    <t xml:space="preserve">Diubah</t>
  </si>
  <si>
    <t xml:space="preserve">Pilihan PPK</t>
  </si>
  <si>
    <t xml:space="preserve">Nama PPK berupa kolom isian di Tahap 3; NIP PPK tetap</t>
  </si>
  <si>
    <t xml:space="preserve">Dropdown dua PPK (GEORGE JUNIOR, PIPIN ZAENAL HAPINUDIN); Nama dan NIP terisi otomatis dan dipakai di SPD, Lampiran, dan Visum</t>
  </si>
  <si>
    <t xml:space="preserve">Kalimat Surat Tugas</t>
  </si>
  <si>
    <t xml:space="preserve">Tiga paragraf: Dasar Penugasan, Maksud Tugas, Pembebanan Anggaran; klausul Setneg pada Dasar Penugasan jika LN</t>
  </si>
  <si>
    <t xml:space="preserve">Kalimat mengikuti template: "Dalam rangka (Tujuan Kegiatan), sesuai (Undangan/Nota Dinas) (Asal Surat) Nomor ... tanggal ..., ... untuk menghadiri (Nama Kegiatan) di (Tempat Kegiatan) pada tanggal ...". Data LN (negara &amp; Izin Setneg) kini hanya muncul pada bagian "di (Tempat Kegiatan)"</t>
  </si>
  <si>
    <t xml:space="preserve">Tembusan Surat Tugas</t>
  </si>
  <si>
    <t xml:space="preserve">Tidak ada (dihapus pada Update 1)</t>
  </si>
  <si>
    <t xml:space="preserve">Tembusan 1-3 (Administrator AMS/PMS, Yang bersangkutan, Arsip) kembali ada di ST</t>
  </si>
  <si>
    <t xml:space="preserve">Baru</t>
  </si>
  <si>
    <t xml:space="preserve">Penandatangan Surat Tugas</t>
  </si>
  <si>
    <t xml:space="preserve">DR. MOHAMAD HERY SARIPUDIN (NIP 19680315 199403 1 001), tetap</t>
  </si>
  <si>
    <t xml:space="preserve">KHASAN ASHARI (NIP 19750617 200003 1 001), tetap; belum ada aksi TTD Kepala Pusat di alur</t>
  </si>
  <si>
    <t xml:space="preserve">Struktur SPD</t>
  </si>
  <si>
    <t xml:space="preserve">SPD 8 poin: Pembebanan Anggaran di Poin 8a/8b, tanpa Pengikut</t>
  </si>
  <si>
    <t xml:space="preserve">SPD 10 poin sesuai template: Poin 8 Pengikut, Poin 9 Pembebanan Anggaran (9a/9b), Poin 10 Keterangan lain-lain (nomor Surat Tugas); "Terlampir" untuk Pangkat/Jabatan/Tingkat Biaya jika pegawai lebih dari 1; durasi "N (terbilang) hari"</t>
  </si>
  <si>
    <t xml:space="preserve">Pengikut SPD</t>
  </si>
  <si>
    <t xml:space="preserve">Tidak ada input maupun cetakan (dihapus pada Update 1)</t>
  </si>
  <si>
    <t xml:space="preserve">Tabel Pengikut tercetak di SPD Poin 8 tetapi kosong dan belum punya input di Tahap 3</t>
  </si>
  <si>
    <t xml:space="preserve">Perlu Konfirmasi</t>
  </si>
  <si>
    <t xml:space="preserve">Matriks 8 kolom (No, Nama/NIP/Jabatan, Asal, Tingkat, Angkutan, No Surat Tugas, Tgl Dinas, Durasi)</t>
  </si>
  <si>
    <t xml:space="preserve">Format Daftar Peserta Kegiatan: Tanggal &amp; Kota Penyelenggaraan, Satuan Kerja, Kementerian; 10 kolom (termasuk Ket); footer Mengetahui/Menyetujui PPK; "idem" untuk Tingkat Biaya, Angkutan, dan No Surat Tugas pada baris berikutnya</t>
  </si>
  <si>
    <t xml:space="preserve">Lembar Visum</t>
  </si>
  <si>
    <t xml:space="preserve">Dua blok: Berangkat dari/Ke dan Tiba di, dengan cap &amp; TTD pejabat</t>
  </si>
  <si>
    <t xml:space="preserve">Format rampungan blok I sampai VIII (Berangkat, Tiba di, persinggahan, Tiba di tempat kedudukan, "Telah diperiksa...", Catatan Lain-lain, Perhatian) dengan TTD PPK pada blok I dan VI</t>
  </si>
  <si>
    <t xml:space="preserve">Tanggal Surat Tugas &amp; SPD</t>
  </si>
  <si>
    <t xml:space="preserve">Tetap 21 Agustus 2026 (ST, SPD, Lampiran)</t>
  </si>
  <si>
    <t xml:space="preserve">Masih tetap di demo (ST &amp; Lampiran 21 Agustus 2026, SPD "Mei 2026"); SPD Poin 10 dan Lampiran memakai Tanggal Berangkat sebagai tanggal Surat Tugas. Diusulkan input Tanggal Surat Tugas oleh TU di Tahap 4 (baris baru di Alur Data, Acuan "Template (usulan)")</t>
  </si>
  <si>
    <t xml:space="preserve">Rujukan peraturan Lampiran</t>
  </si>
  <si>
    <t xml:space="preserve">Demo menulis PER-22/PB/2011, template menulis PER-22/PB/2013</t>
  </si>
  <si>
    <t xml:space="preserve">Kode SPD &amp; Poin 2</t>
  </si>
  <si>
    <t xml:space="preserve">Demo: "Kode No: DL-SPD/2026" dan Poin 2 menampilkan NIP pegawai pertama; template: Kode "-" dan Poin 2 baris kedua "Terlampir" jika pegawai lebih dari 1</t>
  </si>
  <si>
    <t xml:space="preserve">Format tanggal &amp; kolom Lampiran</t>
  </si>
  <si>
    <t xml:space="preserve">Tanggal tampil format ISO (2026-08-27) padahal template memakai "19 Mei 2026" / "19-May-26"; kolom Surat Tugas Nomor dan Tanggal digabung; DAFTAR PESERTA KEGIATAN belum memuat nama kegiatan</t>
  </si>
  <si>
    <t xml:space="preserve">Stempel &amp; penandatangan</t>
  </si>
  <si>
    <t xml:space="preserve">Satu stempel PPK pada semua dokumen</t>
  </si>
  <si>
    <t xml:space="preserve">Template: ST ditandatangani Kepala Pusat, sedangkan SPD, Lampiran, dan Visum oleh PPK; demo masih satu stempel PPK untuk seluruh dokumen, termasuk ST</t>
  </si>
  <si>
    <t xml:space="preserve">Susunan blok Visum</t>
  </si>
  <si>
    <t xml:space="preserve">Template punya pasangan blok persinggahan II sampai V; demo hanya blok I, II, Berangkat, dan satu blok III kosong; baris "Ke" pada kepulangan tetap Jakarta; Catatan Lain-lain tanpa input</t>
  </si>
  <si>
    <t xml:space="preserve">Update 2</t>
  </si>
  <si>
    <t xml:space="preserve">Struktur tahap &amp; aktor</t>
  </si>
  <si>
    <t xml:space="preserve">Tahap 3 Draft Surat Tugas &amp; SPD (Sespalu), Tahap 4 Verifikasi PPK (PPK), Tahap 5 Output &amp; Generasi Dokumen (TU)</t>
  </si>
  <si>
    <t xml:space="preserve">Tahap 3 Draft Rincian Tugas (Sespalu), Tahap 4 Penomoran Surat (TU), Tahap 5 Output &amp; Monitoring TTD PPK (TU menerima output, PPK memantau &amp; TTD). Tombol akhir Tahap 3 menjadi "Kirim Draft ke Tata Usaha (TU)"</t>
  </si>
  <si>
    <t xml:space="preserve">Peran TU</t>
  </si>
  <si>
    <t xml:space="preserve">TU hanya di tahap akhir (penerbitan/output)</t>
  </si>
  <si>
    <t xml:space="preserve">TU memberi penomoran resmi Nomor ST &amp; Nomor SPD di Tahap 4 (sebelum output), lalu menerima output dan mencetaknya di Tahap 5</t>
  </si>
  <si>
    <t xml:space="preserve">Penomoran ST &amp; SPD</t>
  </si>
  <si>
    <t xml:space="preserve">Nomor Surat Tugas &amp; Nomor SPD diisi Sespalu di Tahap 3 (Identitas Nomor &amp; PPK)</t>
  </si>
  <si>
    <t xml:space="preserve">Diisi TU di Tahap 4, dengan petunjuk format standar dan sumber Buku Agenda Tata Naskah Dinas. Tahap 3 hanya memuat catatan bahwa penomoran dilakukan TU</t>
  </si>
  <si>
    <t xml:space="preserve">Ringkasan draft untuk TU</t>
  </si>
  <si>
    <t xml:space="preserve">Ringkasan Berkas Masuk untuk PPK (Nomor ST, Nomor SPD, Pegawai, Lokasi)</t>
  </si>
  <si>
    <t xml:space="preserve">Ringkasan Draft dari Sespalu untuk TU (Maksud Kegiatan, Lokasi Tujuan, Personel Ditugaskan, Durasi Dinas); tombol Kembali ke Tahap 3 tersedia</t>
  </si>
  <si>
    <t xml:space="preserve">Peran PPK</t>
  </si>
  <si>
    <t xml:space="preserve">PPK memverifikasi berkas di Tahap 4 (ACC &amp; Stempel / Tolak); proses menunggu keputusan PPK</t>
  </si>
  <si>
    <t xml:space="preserve">PPK memantau status surat dan menandatangani (Sematkan TTD Digital) bila diperlukan; bersifat non-blocking, dokumen tetap bisa dicetak sebelum PPK menandatangani</t>
  </si>
  <si>
    <t xml:space="preserve">Status &amp; stempel PPK</t>
  </si>
  <si>
    <t xml:space="preserve">Stempel muncul setelah ACC, lalu masuk Tahap 5</t>
  </si>
  <si>
    <t xml:space="preserve">Default "Menunggu TTD PPK (Proses Tetap Berjalan)"; stempel muncul saat PPK menyematkan TTD dan hilang jika TTD dibatalkan; badge berubah menjadi "Sudah Ditandatangani PPK (Approved)"</t>
  </si>
  <si>
    <t xml:space="preserve">Penolakan PPK</t>
  </si>
  <si>
    <t xml:space="preserve">Tombol Tolak &amp; Kembalikan ke Sespalu (kembali ke Tahap 3)</t>
  </si>
  <si>
    <t xml:space="preserve">Tidak ada; PPK hanya dapat menyematkan atau membatalkan TTD</t>
  </si>
  <si>
    <t xml:space="preserve">Dihapus</t>
  </si>
  <si>
    <t xml:space="preserve">Cara penomoran</t>
  </si>
  <si>
    <t xml:space="preserve">Alur awal: nomor dibuat otomatis oleh sistem</t>
  </si>
  <si>
    <t xml:space="preserve">TU mengetik nomor secara manual (kolom wajib, sudah terisi contoh dan petunjuk format), belum otomatis</t>
  </si>
  <si>
    <t xml:space="preserve">TTD PPK per dokumen</t>
  </si>
  <si>
    <t xml:space="preserve">Satu tombol TTD berlaku untuk seluruh dokumen; belum bisa memilih dokumen tertentu yang perlu ditandatangani PPK. Nama PPK masih diketik Sespalu di Tahap 3</t>
  </si>
  <si>
    <t xml:space="preserve">Pengembalian draft oleh TU</t>
  </si>
  <si>
    <t xml:space="preserve">TU hanya punya tombol Kembali ke Tahap 3; belum ada catatan/alasan pengembalian ke Sespalu</t>
  </si>
  <si>
    <t xml:space="preserve">Update 1</t>
  </si>
  <si>
    <t xml:space="preserve">Struktur tahap</t>
  </si>
  <si>
    <t xml:space="preserve">7 tahap: Upload Nota, Disposisi Kapus, Drafting (Header &amp; Identitas), Input Detail Tugas &amp; Perjalanan, Pilih Peserta &amp; Pengikut, Verifikasi &amp; Approval, Finalisasi &amp; Distribusi TU</t>
  </si>
  <si>
    <t xml:space="preserve">Tahap 3-5 lama digabung dalam satu form Draft; total 5 tahap (nama tahap 3-5 berubah lagi pada Update 2)</t>
  </si>
  <si>
    <t xml:space="preserve">Tidak ada</t>
  </si>
  <si>
    <t xml:space="preserve">Pilihan Dalam Negeri / Luar Negeri di Tahap 1; memengaruhi field, label, dan isi dokumen</t>
  </si>
  <si>
    <t xml:space="preserve">Sumber Nota &amp; Pengirim</t>
  </si>
  <si>
    <t xml:space="preserve">Asal Instansi diisi sebagai teks</t>
  </si>
  <si>
    <t xml:space="preserve">Sumber Nota/Undangan (Eksternal / Internal) + Instansi/Unit Pengirim</t>
  </si>
  <si>
    <t xml:space="preserve">Dokumen Izin Setneg (LN)</t>
  </si>
  <si>
    <t xml:space="preserve">Upload file Izin Setneg/Keppres di Tahap 1; Nomor Izin Setneg &amp; Negara Tujuan diisi di Tahap 3; dikutip pada Dasar Penugasan ST, SPD Poin 4 &amp; 6b, dan Visum</t>
  </si>
  <si>
    <t xml:space="preserve">Maksud Tugas / Perjalanan Dinas</t>
  </si>
  <si>
    <t xml:space="preserve">Textarea terpisah di tahap detail tugas (Sync ST dan SPD Poin 4)</t>
  </si>
  <si>
    <t xml:space="preserve">Tidak ada input terpisah; diambil dari Perihal Undangan (Tahap 1), ST menambahkan "di [lokasi]"</t>
  </si>
  <si>
    <t xml:space="preserve">Pemilihan pegawai</t>
  </si>
  <si>
    <t xml:space="preserve">Multi-select pegawai dari database; NIP, pangkat, jabatan terisi otomatis</t>
  </si>
  <si>
    <t xml:space="preserve">Dropdown Master Pegawai + tombol Tambah/Hapus; minimal 1 pegawai, NIP ganda ditolak; kolom Status Profil per pegawai</t>
  </si>
  <si>
    <t xml:space="preserve">Master Pegawai &amp; Snapshot Lock</t>
  </si>
  <si>
    <t xml:space="preserve">Modal Master Pegawai &amp; Promosi: perubahan pangkat/jabatan di Master tidak mengubah snapshot pada dokumen lama</t>
  </si>
  <si>
    <t xml:space="preserve">Tingkat Biaya &amp; Alat Angkutan</t>
  </si>
  <si>
    <t xml:space="preserve">Alat Angkutan sebagai input; Tingkat Biaya tampil di SPD Poin 3c</t>
  </si>
  <si>
    <t xml:space="preserve">Dropdown Tingkat Biaya (A/B/C) dan Alat Angkutan (Darat / Udara / Kendaraan Dinas); tampil juga di kolom Lampiran Matriks</t>
  </si>
  <si>
    <t xml:space="preserve">Input daftar pengikut (Nama, Tgl Lahir, Keterangan) pada SPD Poin 8</t>
  </si>
  <si>
    <t xml:space="preserve">Tidak ada di demo; SPD kini berakhir di Poin 8 (Pembebanan Anggaran)</t>
  </si>
  <si>
    <t xml:space="preserve">Dipilih dari Master DIPA Unit Kerja; SPD Poin 9a &amp; 9b</t>
  </si>
  <si>
    <t xml:space="preserve">Tidak ada input/pilihan; data tetap; SPD Poin 8a &amp; 8b</t>
  </si>
  <si>
    <t xml:space="preserve">PPK &amp; pejabat penandatangan</t>
  </si>
  <si>
    <t xml:space="preserve">PPK dan Kapus dipilih dari dropdown Master Pegawai (Nama &amp; NIP otomatis)</t>
  </si>
  <si>
    <t xml:space="preserve">Nama PPK berupa kolom isian di Tahap 3; NIP PPK dan data Kepala Pusat tetap di dokumen</t>
  </si>
  <si>
    <t xml:space="preserve">Kota &amp; Tanggal Dikeluarkan</t>
  </si>
  <si>
    <t xml:space="preserve">Diinput di Tahap 3 (header &amp; identitas)</t>
  </si>
  <si>
    <t xml:space="preserve">Tetap: Jakarta, 21 Agustus 2026 (bukan input)</t>
  </si>
  <si>
    <t xml:space="preserve">Disposisi Kapus</t>
  </si>
  <si>
    <t xml:space="preserve">Catatan wajib diisi jika Revisi / Stop</t>
  </si>
  <si>
    <t xml:space="preserve">Catatan opsional; pilihan Revisi/Stop belum membedakan alur di demo (tetap lanjut ke Tahap 3)</t>
  </si>
  <si>
    <t xml:space="preserve">Finalisasi TU</t>
  </si>
  <si>
    <t xml:space="preserve">Konfirmasi Registrasi Nomor Arsip, Tembusan Surat, Barcode QR Code, bundle otomatis 4 dokumen</t>
  </si>
  <si>
    <t xml:space="preserve">Tembusan dan QR Code tidak ada lagi; tersisa pratinjau 4 dokumen (tab), Cetak/Download PDF, dan Buat Surat Baru</t>
  </si>
  <si>
    <t xml:space="preserve">Kolom tabel dokumen</t>
  </si>
  <si>
    <t xml:space="preserve">ST: No, Nama, NIP, PGPNS, Jabatan. Lampiran: No, Nama, NIP, Jabatan, Pangkat/Gol, Angkutan, Tempat Kedudukan, Tgl, Lama Dinas</t>
  </si>
  <si>
    <t xml:space="preserve">ST: No, Nama/NIP, Pangkat/Golongan, Jabatan. Lampiran: No, Nama/NIP/Jabatan, Asal, Tingkat, Angkutan, No Surat Tugas, Tgl Dinas, Durasi ("idem" untuk baris berikutnya)</t>
  </si>
  <si>
    <t xml:space="preserve">Catatan teknis demo</t>
  </si>
  <si>
    <t xml:space="preserve">Tanggal berangkat/kembali pada SPD Poin 7b/7c dan tanggal pada Visum tercetak statis (27 Agustus 2026 / 01 September 2026), belum mengikuti input Tahap 3. Tanggal pada Lampiran tampil berformat 2026-08-27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</si>
</sst>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CD34D"/>
      <name val="Arial"/>
      <family val="0"/>
      <charset val="1"/>
    </font>
    <font>
      <i val="true"/>
      <sz val="10"/>
      <color rgb="FFE2E8F0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2C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75985"/>
      <name val="Arial"/>
      <family val="0"/>
      <charset val="1"/>
    </font>
    <font>
      <b val="true"/>
      <sz val="10"/>
      <color rgb="FF6B21A8"/>
      <name val="Arial"/>
      <family val="0"/>
      <charset val="1"/>
    </font>
    <font>
      <b val="true"/>
      <sz val="11"/>
      <color rgb="FF0F2C59"/>
      <name val="Arial"/>
      <family val="0"/>
      <charset val="1"/>
    </font>
    <font>
      <b val="true"/>
      <sz val="10"/>
      <color rgb="FF991B1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C59"/>
        <bgColor rgb="FF1E3E62"/>
      </patternFill>
    </fill>
    <fill>
      <patternFill patternType="solid">
        <fgColor rgb="FFF1F5F9"/>
        <bgColor rgb="FFF8FAFC"/>
      </patternFill>
    </fill>
    <fill>
      <patternFill patternType="solid">
        <fgColor rgb="FF1E3E62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E0F2FE"/>
      </patternFill>
    </fill>
    <fill>
      <patternFill patternType="solid">
        <fgColor rgb="FFFEF3C7"/>
        <bgColor rgb="FFFEE2E2"/>
      </patternFill>
    </fill>
    <fill>
      <patternFill patternType="solid">
        <fgColor rgb="FFE0F2FE"/>
        <bgColor rgb="FFDBEAFE"/>
      </patternFill>
    </fill>
    <fill>
      <patternFill patternType="solid">
        <fgColor rgb="FFF3E8FF"/>
        <bgColor rgb="FFF1F5F9"/>
      </patternFill>
    </fill>
    <fill>
      <patternFill patternType="solid">
        <fgColor rgb="FFFEE2E2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E3E6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075985"/>
          <bgColor rgb="FF000000"/>
        </patternFill>
      </fill>
    </dxf>
    <dxf>
      <fill>
        <patternFill patternType="solid">
          <fgColor rgb="FF6B21A8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075985"/>
      </font>
      <fill>
        <patternFill>
          <bgColor rgb="FFE0F2FE"/>
        </patternFill>
      </fill>
    </dxf>
    <dxf>
      <font>
        <name val="Arial"/>
        <charset val="1"/>
        <family val="0"/>
        <b val="1"/>
        <color rgb="FF6B21A8"/>
      </font>
      <fill>
        <patternFill>
          <bgColor rgb="FFF3E8FF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ont>
        <name val="Arial"/>
        <charset val="1"/>
        <family val="0"/>
        <b val="1"/>
        <color rgb="FF1E40AF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6B21A8"/>
      <rgbColor rgb="FF065F46"/>
      <rgbColor rgb="FFE2E8F0"/>
      <rgbColor rgb="FF475569"/>
      <rgbColor rgb="FF9999FF"/>
      <rgbColor rgb="FF993366"/>
      <rgbColor rgb="FFFEF3C7"/>
      <rgbColor rgb="FFE0F2FE"/>
      <rgbColor rgb="FF660066"/>
      <rgbColor rgb="FFFF8080"/>
      <rgbColor rgb="FF07598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E2E2"/>
      <rgbColor rgb="FFF3E8FF"/>
      <rgbColor rgb="FFF1F5F9"/>
      <rgbColor rgb="FFF8FAFC"/>
      <rgbColor rgb="FFFCD34D"/>
      <rgbColor rgb="FF1E40AF"/>
      <rgbColor rgb="FF33CCCC"/>
      <rgbColor rgb="FF99CC00"/>
      <rgbColor rgb="FFFFCC00"/>
      <rgbColor rgb="FFFF9900"/>
      <rgbColor rgb="FFFF6600"/>
      <rgbColor rgb="FF64748B"/>
      <rgbColor rgb="FF969696"/>
      <rgbColor rgb="FF0F2C59"/>
      <rgbColor rgb="FF339966"/>
      <rgbColor rgb="FF003300"/>
      <rgbColor rgb="FF1E3E62"/>
      <rgbColor rgb="FF92400E"/>
      <rgbColor rgb="FF993366"/>
      <rgbColor rgb="FF1E3A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66"/>
    <col collapsed="false" customWidth="true" hidden="false" outlineLevel="0" max="7" min="7" style="0" width="48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02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9" t="s">
        <v>15</v>
      </c>
      <c r="F5" s="9" t="s">
        <v>16</v>
      </c>
      <c r="G5" s="9" t="s">
        <v>17</v>
      </c>
      <c r="H5" s="10" t="s">
        <v>18</v>
      </c>
      <c r="I5" s="10" t="s">
        <v>19</v>
      </c>
    </row>
    <row r="6" customFormat="false" ht="142.5" hidden="false" customHeight="true" outlineLevel="0" collapsed="false">
      <c r="A6" s="5" t="n">
        <v>1</v>
      </c>
      <c r="B6" s="6" t="s">
        <v>12</v>
      </c>
      <c r="C6" s="7" t="s">
        <v>13</v>
      </c>
      <c r="D6" s="8" t="s">
        <v>20</v>
      </c>
      <c r="E6" s="9" t="s">
        <v>21</v>
      </c>
      <c r="F6" s="9" t="s">
        <v>22</v>
      </c>
      <c r="G6" s="9" t="s">
        <v>23</v>
      </c>
      <c r="H6" s="10" t="s">
        <v>18</v>
      </c>
      <c r="I6" s="10" t="s">
        <v>24</v>
      </c>
    </row>
    <row r="7" customFormat="false" ht="48" hidden="false" customHeight="true" outlineLevel="0" collapsed="false">
      <c r="A7" s="5" t="n">
        <v>1</v>
      </c>
      <c r="B7" s="6" t="s">
        <v>12</v>
      </c>
      <c r="C7" s="7" t="s">
        <v>13</v>
      </c>
      <c r="D7" s="8" t="s">
        <v>25</v>
      </c>
      <c r="E7" s="9" t="s">
        <v>26</v>
      </c>
      <c r="F7" s="9" t="s">
        <v>27</v>
      </c>
      <c r="G7" s="9" t="s">
        <v>28</v>
      </c>
      <c r="H7" s="10" t="s">
        <v>18</v>
      </c>
      <c r="I7" s="10" t="s">
        <v>19</v>
      </c>
    </row>
    <row r="8" customFormat="false" ht="75" hidden="false" customHeight="true" outlineLevel="0" collapsed="false">
      <c r="A8" s="5" t="n">
        <v>2</v>
      </c>
      <c r="B8" s="6" t="s">
        <v>29</v>
      </c>
      <c r="C8" s="7" t="s">
        <v>30</v>
      </c>
      <c r="D8" s="8" t="s">
        <v>31</v>
      </c>
      <c r="E8" s="9" t="s">
        <v>32</v>
      </c>
      <c r="F8" s="9" t="s">
        <v>33</v>
      </c>
      <c r="G8" s="9" t="s">
        <v>34</v>
      </c>
      <c r="H8" s="10" t="s">
        <v>35</v>
      </c>
      <c r="I8" s="10" t="s">
        <v>19</v>
      </c>
    </row>
    <row r="9" customFormat="false" ht="75" hidden="false" customHeight="true" outlineLevel="0" collapsed="false">
      <c r="A9" s="5" t="n">
        <v>3</v>
      </c>
      <c r="B9" s="6" t="s">
        <v>36</v>
      </c>
      <c r="C9" s="7" t="s">
        <v>37</v>
      </c>
      <c r="D9" s="8" t="s">
        <v>38</v>
      </c>
      <c r="E9" s="9" t="s">
        <v>39</v>
      </c>
      <c r="F9" s="9" t="s">
        <v>40</v>
      </c>
      <c r="G9" s="9" t="s">
        <v>41</v>
      </c>
      <c r="H9" s="10" t="s">
        <v>42</v>
      </c>
      <c r="I9" s="10" t="s">
        <v>24</v>
      </c>
    </row>
    <row r="10" customFormat="false" ht="142.5" hidden="false" customHeight="true" outlineLevel="0" collapsed="false">
      <c r="A10" s="5" t="n">
        <v>3</v>
      </c>
      <c r="B10" s="6" t="s">
        <v>36</v>
      </c>
      <c r="C10" s="7" t="s">
        <v>37</v>
      </c>
      <c r="D10" s="8" t="s">
        <v>43</v>
      </c>
      <c r="E10" s="9" t="s">
        <v>44</v>
      </c>
      <c r="F10" s="9" t="s">
        <v>45</v>
      </c>
      <c r="G10" s="9" t="s">
        <v>46</v>
      </c>
      <c r="H10" s="10" t="s">
        <v>47</v>
      </c>
      <c r="I10" s="10" t="s">
        <v>24</v>
      </c>
    </row>
    <row r="11" customFormat="false" ht="102" hidden="false" customHeight="true" outlineLevel="0" collapsed="false">
      <c r="A11" s="5" t="n">
        <v>3</v>
      </c>
      <c r="B11" s="6" t="s">
        <v>36</v>
      </c>
      <c r="C11" s="7" t="s">
        <v>37</v>
      </c>
      <c r="D11" s="8" t="s">
        <v>48</v>
      </c>
      <c r="E11" s="9" t="s">
        <v>49</v>
      </c>
      <c r="F11" s="9" t="s">
        <v>50</v>
      </c>
      <c r="G11" s="9" t="s">
        <v>51</v>
      </c>
      <c r="H11" s="10" t="s">
        <v>42</v>
      </c>
      <c r="I11" s="10" t="s">
        <v>24</v>
      </c>
    </row>
    <row r="12" customFormat="false" ht="61.5" hidden="false" customHeight="true" outlineLevel="0" collapsed="false">
      <c r="A12" s="5" t="n">
        <v>3</v>
      </c>
      <c r="B12" s="6" t="s">
        <v>36</v>
      </c>
      <c r="C12" s="7" t="s">
        <v>37</v>
      </c>
      <c r="D12" s="8" t="s">
        <v>52</v>
      </c>
      <c r="E12" s="9" t="s">
        <v>53</v>
      </c>
      <c r="F12" s="9" t="s">
        <v>54</v>
      </c>
      <c r="G12" s="9" t="s">
        <v>55</v>
      </c>
      <c r="H12" s="10" t="s">
        <v>18</v>
      </c>
      <c r="I12" s="10" t="s">
        <v>19</v>
      </c>
    </row>
    <row r="13" customFormat="false" ht="61.5" hidden="false" customHeight="true" outlineLevel="0" collapsed="false">
      <c r="A13" s="5" t="n">
        <v>3</v>
      </c>
      <c r="B13" s="6" t="s">
        <v>36</v>
      </c>
      <c r="C13" s="7" t="s">
        <v>37</v>
      </c>
      <c r="D13" s="8" t="s">
        <v>56</v>
      </c>
      <c r="E13" s="9" t="s">
        <v>57</v>
      </c>
      <c r="F13" s="9" t="s">
        <v>58</v>
      </c>
      <c r="G13" s="9" t="s">
        <v>59</v>
      </c>
      <c r="H13" s="10" t="s">
        <v>18</v>
      </c>
      <c r="I13" s="10" t="s">
        <v>24</v>
      </c>
    </row>
    <row r="14" customFormat="false" ht="169.5" hidden="false" customHeight="true" outlineLevel="0" collapsed="false">
      <c r="A14" s="5" t="n">
        <v>3</v>
      </c>
      <c r="B14" s="6" t="s">
        <v>36</v>
      </c>
      <c r="C14" s="7" t="s">
        <v>37</v>
      </c>
      <c r="D14" s="8" t="s">
        <v>60</v>
      </c>
      <c r="E14" s="9" t="s">
        <v>61</v>
      </c>
      <c r="F14" s="9" t="s">
        <v>62</v>
      </c>
      <c r="G14" s="9" t="s">
        <v>63</v>
      </c>
      <c r="H14" s="10" t="s">
        <v>18</v>
      </c>
      <c r="I14" s="10" t="s">
        <v>24</v>
      </c>
    </row>
    <row r="15" customFormat="false" ht="75" hidden="false" customHeight="true" outlineLevel="0" collapsed="false">
      <c r="A15" s="5" t="n">
        <v>3</v>
      </c>
      <c r="B15" s="6" t="s">
        <v>36</v>
      </c>
      <c r="C15" s="7" t="s">
        <v>37</v>
      </c>
      <c r="D15" s="8" t="s">
        <v>64</v>
      </c>
      <c r="E15" s="9" t="s">
        <v>65</v>
      </c>
      <c r="F15" s="9" t="s">
        <v>66</v>
      </c>
      <c r="G15" s="9" t="s">
        <v>67</v>
      </c>
      <c r="H15" s="10" t="s">
        <v>47</v>
      </c>
      <c r="I15" s="10" t="s">
        <v>24</v>
      </c>
    </row>
    <row r="16" customFormat="false" ht="102" hidden="false" customHeight="true" outlineLevel="0" collapsed="false">
      <c r="A16" s="5" t="n">
        <v>3</v>
      </c>
      <c r="B16" s="6" t="s">
        <v>36</v>
      </c>
      <c r="C16" s="7" t="s">
        <v>37</v>
      </c>
      <c r="D16" s="8" t="s">
        <v>68</v>
      </c>
      <c r="E16" s="9" t="s">
        <v>69</v>
      </c>
      <c r="F16" s="9" t="s">
        <v>70</v>
      </c>
      <c r="G16" s="9" t="s">
        <v>71</v>
      </c>
      <c r="H16" s="10" t="s">
        <v>18</v>
      </c>
      <c r="I16" s="10" t="s">
        <v>19</v>
      </c>
    </row>
    <row r="17" customFormat="false" ht="48" hidden="false" customHeight="true" outlineLevel="0" collapsed="false">
      <c r="A17" s="5" t="n">
        <v>3</v>
      </c>
      <c r="B17" s="6" t="s">
        <v>36</v>
      </c>
      <c r="C17" s="7" t="s">
        <v>37</v>
      </c>
      <c r="D17" s="8" t="s">
        <v>72</v>
      </c>
      <c r="E17" s="9" t="s">
        <v>73</v>
      </c>
      <c r="F17" s="9" t="s">
        <v>74</v>
      </c>
      <c r="G17" s="9" t="s">
        <v>75</v>
      </c>
      <c r="H17" s="10" t="s">
        <v>42</v>
      </c>
      <c r="I17" s="10" t="s">
        <v>24</v>
      </c>
    </row>
    <row r="18" customFormat="false" ht="61.5" hidden="false" customHeight="true" outlineLevel="0" collapsed="false">
      <c r="A18" s="5" t="n">
        <v>4</v>
      </c>
      <c r="B18" s="6" t="s">
        <v>76</v>
      </c>
      <c r="C18" s="7" t="s">
        <v>77</v>
      </c>
      <c r="D18" s="8" t="s">
        <v>78</v>
      </c>
      <c r="E18" s="9" t="s">
        <v>79</v>
      </c>
      <c r="F18" s="9" t="s">
        <v>80</v>
      </c>
      <c r="G18" s="9" t="s">
        <v>81</v>
      </c>
      <c r="H18" s="10" t="s">
        <v>42</v>
      </c>
      <c r="I18" s="10" t="s">
        <v>19</v>
      </c>
    </row>
    <row r="19" customFormat="false" ht="88.5" hidden="false" customHeight="true" outlineLevel="0" collapsed="false">
      <c r="A19" s="5" t="n">
        <v>4</v>
      </c>
      <c r="B19" s="6" t="s">
        <v>76</v>
      </c>
      <c r="C19" s="7" t="s">
        <v>77</v>
      </c>
      <c r="D19" s="8" t="s">
        <v>82</v>
      </c>
      <c r="E19" s="9" t="s">
        <v>83</v>
      </c>
      <c r="F19" s="9" t="s">
        <v>84</v>
      </c>
      <c r="G19" s="9" t="s">
        <v>85</v>
      </c>
      <c r="H19" s="10" t="s">
        <v>18</v>
      </c>
      <c r="I19" s="10" t="s">
        <v>24</v>
      </c>
    </row>
    <row r="20" customFormat="false" ht="61.5" hidden="false" customHeight="true" outlineLevel="0" collapsed="false">
      <c r="A20" s="5" t="n">
        <v>4</v>
      </c>
      <c r="B20" s="6" t="s">
        <v>76</v>
      </c>
      <c r="C20" s="7" t="s">
        <v>77</v>
      </c>
      <c r="D20" s="8" t="s">
        <v>86</v>
      </c>
      <c r="E20" s="9" t="s">
        <v>87</v>
      </c>
      <c r="F20" s="9" t="s">
        <v>88</v>
      </c>
      <c r="G20" s="9" t="s">
        <v>89</v>
      </c>
      <c r="H20" s="10" t="s">
        <v>18</v>
      </c>
      <c r="I20" s="10" t="s">
        <v>90</v>
      </c>
    </row>
    <row r="21" customFormat="false" ht="75" hidden="false" customHeight="true" outlineLevel="0" collapsed="false">
      <c r="A21" s="5" t="n">
        <v>5</v>
      </c>
      <c r="B21" s="6" t="s">
        <v>91</v>
      </c>
      <c r="C21" s="7" t="s">
        <v>77</v>
      </c>
      <c r="D21" s="8" t="s">
        <v>92</v>
      </c>
      <c r="E21" s="9" t="s">
        <v>93</v>
      </c>
      <c r="F21" s="9" t="s">
        <v>94</v>
      </c>
      <c r="G21" s="9" t="s">
        <v>95</v>
      </c>
      <c r="H21" s="10" t="s">
        <v>47</v>
      </c>
      <c r="I21" s="10" t="s">
        <v>24</v>
      </c>
    </row>
    <row r="22" customFormat="false" ht="48" hidden="false" customHeight="true" outlineLevel="0" collapsed="false">
      <c r="A22" s="5" t="n">
        <v>5</v>
      </c>
      <c r="B22" s="6" t="s">
        <v>91</v>
      </c>
      <c r="C22" s="7" t="s">
        <v>77</v>
      </c>
      <c r="D22" s="8" t="s">
        <v>96</v>
      </c>
      <c r="E22" s="9" t="s">
        <v>97</v>
      </c>
      <c r="F22" s="9" t="s">
        <v>98</v>
      </c>
      <c r="G22" s="9" t="s">
        <v>99</v>
      </c>
      <c r="H22" s="10" t="s">
        <v>35</v>
      </c>
      <c r="I22" s="10" t="s">
        <v>19</v>
      </c>
    </row>
    <row r="23" customFormat="false" ht="48" hidden="false" customHeight="true" outlineLevel="0" collapsed="false">
      <c r="A23" s="5" t="n">
        <v>5</v>
      </c>
      <c r="B23" s="6" t="s">
        <v>91</v>
      </c>
      <c r="C23" s="7" t="s">
        <v>100</v>
      </c>
      <c r="D23" s="8" t="s">
        <v>101</v>
      </c>
      <c r="E23" s="9" t="s">
        <v>102</v>
      </c>
      <c r="F23" s="9" t="s">
        <v>103</v>
      </c>
      <c r="G23" s="9" t="s">
        <v>104</v>
      </c>
      <c r="H23" s="10" t="s">
        <v>47</v>
      </c>
      <c r="I23" s="10" t="s">
        <v>19</v>
      </c>
    </row>
    <row r="24" customFormat="false" ht="75" hidden="false" customHeight="true" outlineLevel="0" collapsed="false">
      <c r="A24" s="5" t="n">
        <v>5</v>
      </c>
      <c r="B24" s="6" t="s">
        <v>91</v>
      </c>
      <c r="C24" s="7" t="s">
        <v>100</v>
      </c>
      <c r="D24" s="8" t="s">
        <v>105</v>
      </c>
      <c r="E24" s="9" t="s">
        <v>106</v>
      </c>
      <c r="F24" s="9" t="s">
        <v>107</v>
      </c>
      <c r="G24" s="9" t="s">
        <v>108</v>
      </c>
      <c r="H24" s="10" t="s">
        <v>35</v>
      </c>
      <c r="I24" s="10" t="s">
        <v>24</v>
      </c>
    </row>
  </sheetData>
  <autoFilter ref="A4:I24"/>
  <mergeCells count="3">
    <mergeCell ref="A1:I1"/>
    <mergeCell ref="A2:I2"/>
    <mergeCell ref="A3:I3"/>
  </mergeCells>
  <conditionalFormatting sqref="H5:H44">
    <cfRule type="cellIs" priority="2" operator="equal" aboveAverage="0" equalAverage="0" bottom="0" percent="0" rank="0" text="" dxfId="14">
      <formula>"Auto-populated"</formula>
    </cfRule>
    <cfRule type="cellIs" priority="3" operator="equal" aboveAverage="0" equalAverage="0" bottom="0" percent="0" rank="0" text="" dxfId="15">
      <formula>"Input Manual"</formula>
    </cfRule>
    <cfRule type="cellIs" priority="4" operator="equal" aboveAverage="0" equalAverage="0" bottom="0" percent="0" rank="0" text="" dxfId="16">
      <formula>"System Generated"</formula>
    </cfRule>
    <cfRule type="cellIs" priority="5" operator="equal" aboveAverage="0" equalAverage="0" bottom="0" percent="0" rank="0" text="" dxfId="17">
      <formula>"Approval / Action"</formula>
    </cfRule>
  </conditionalFormatting>
  <conditionalFormatting sqref="I5:I44">
    <cfRule type="cellIs" priority="6" operator="equal" aboveAverage="0" equalAverage="0" bottom="0" percent="0" rank="0" text="" dxfId="15">
      <formula>"Template (usulan)"</formula>
    </cfRule>
  </conditionalFormatting>
  <dataValidations count="2">
    <dataValidation allowBlank="true" error="Pilih salah satu status dari daftar." errorStyle="stop" errorTitle="Status tidak valid" operator="between" showDropDown="false" showErrorMessage="true" showInputMessage="false" sqref="H5:H44" type="list">
      <formula1>"Input Manual,Auto-populated,System Generated,Approval / Action"</formula1>
      <formula2>0</formula2>
    </dataValidation>
    <dataValidation allowBlank="true" errorStyle="stop" operator="between" showDropDown="false" showErrorMessage="false" showInputMessage="false" sqref="I5:I44" type="list">
      <formula1>"Demo &amp; Template,Demo,Template (usulan)"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72"/>
  </cols>
  <sheetData>
    <row r="1" customFormat="false" ht="30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3" t="s">
        <v>111</v>
      </c>
      <c r="B3" s="3"/>
      <c r="C3" s="3"/>
      <c r="D3" s="3"/>
      <c r="E3" s="3"/>
      <c r="F3" s="3"/>
      <c r="G3" s="3"/>
    </row>
    <row r="4" customFormat="false" ht="31.5" hidden="false" customHeight="true" outlineLevel="0" collapsed="false">
      <c r="A4" s="4" t="s">
        <v>3</v>
      </c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customFormat="false" ht="34.5" hidden="false" customHeight="true" outlineLevel="0" collapsed="false">
      <c r="A5" s="11" t="n">
        <v>1</v>
      </c>
      <c r="B5" s="7" t="s">
        <v>118</v>
      </c>
      <c r="C5" s="9" t="s">
        <v>119</v>
      </c>
      <c r="D5" s="9" t="s">
        <v>120</v>
      </c>
      <c r="E5" s="9" t="s">
        <v>121</v>
      </c>
      <c r="F5" s="10" t="s">
        <v>120</v>
      </c>
      <c r="G5" s="9" t="s">
        <v>122</v>
      </c>
    </row>
    <row r="6" customFormat="false" ht="21" hidden="false" customHeight="true" outlineLevel="0" collapsed="false">
      <c r="A6" s="11" t="n">
        <v>2</v>
      </c>
      <c r="B6" s="7" t="s">
        <v>118</v>
      </c>
      <c r="C6" s="9" t="s">
        <v>123</v>
      </c>
      <c r="D6" s="9" t="s">
        <v>124</v>
      </c>
      <c r="E6" s="9" t="s">
        <v>125</v>
      </c>
      <c r="F6" s="10" t="s">
        <v>126</v>
      </c>
      <c r="G6" s="9"/>
    </row>
    <row r="7" customFormat="false" ht="48" hidden="false" customHeight="true" outlineLevel="0" collapsed="false">
      <c r="A7" s="11" t="n">
        <v>3</v>
      </c>
      <c r="B7" s="7" t="s">
        <v>118</v>
      </c>
      <c r="C7" s="9" t="s">
        <v>127</v>
      </c>
      <c r="D7" s="9" t="s">
        <v>128</v>
      </c>
      <c r="E7" s="9" t="s">
        <v>13</v>
      </c>
      <c r="F7" s="10" t="s">
        <v>126</v>
      </c>
      <c r="G7" s="9" t="s">
        <v>129</v>
      </c>
    </row>
    <row r="8" customFormat="false" ht="34.5" hidden="false" customHeight="true" outlineLevel="0" collapsed="false">
      <c r="A8" s="11" t="n">
        <v>4</v>
      </c>
      <c r="B8" s="7" t="s">
        <v>118</v>
      </c>
      <c r="C8" s="9" t="s">
        <v>130</v>
      </c>
      <c r="D8" s="9" t="s">
        <v>131</v>
      </c>
      <c r="E8" s="9" t="s">
        <v>13</v>
      </c>
      <c r="F8" s="10" t="s">
        <v>126</v>
      </c>
      <c r="G8" s="9"/>
    </row>
    <row r="9" customFormat="false" ht="34.5" hidden="false" customHeight="true" outlineLevel="0" collapsed="false">
      <c r="A9" s="11" t="n">
        <v>5</v>
      </c>
      <c r="B9" s="7" t="s">
        <v>118</v>
      </c>
      <c r="C9" s="9" t="s">
        <v>132</v>
      </c>
      <c r="D9" s="9" t="s">
        <v>133</v>
      </c>
      <c r="E9" s="9" t="s">
        <v>13</v>
      </c>
      <c r="F9" s="10" t="s">
        <v>126</v>
      </c>
      <c r="G9" s="9"/>
    </row>
    <row r="10" customFormat="false" ht="34.5" hidden="false" customHeight="true" outlineLevel="0" collapsed="false">
      <c r="A10" s="11" t="n">
        <v>6</v>
      </c>
      <c r="B10" s="7" t="s">
        <v>118</v>
      </c>
      <c r="C10" s="9" t="s">
        <v>134</v>
      </c>
      <c r="D10" s="9" t="s">
        <v>135</v>
      </c>
      <c r="E10" s="9" t="s">
        <v>13</v>
      </c>
      <c r="F10" s="10" t="s">
        <v>126</v>
      </c>
      <c r="G10" s="9"/>
    </row>
    <row r="11" customFormat="false" ht="34.5" hidden="false" customHeight="true" outlineLevel="0" collapsed="false">
      <c r="A11" s="11" t="n">
        <v>7</v>
      </c>
      <c r="B11" s="7" t="s">
        <v>118</v>
      </c>
      <c r="C11" s="9" t="s">
        <v>136</v>
      </c>
      <c r="D11" s="9" t="s">
        <v>137</v>
      </c>
      <c r="E11" s="9" t="s">
        <v>13</v>
      </c>
      <c r="F11" s="10" t="s">
        <v>126</v>
      </c>
      <c r="G11" s="9"/>
    </row>
    <row r="12" customFormat="false" ht="34.5" hidden="false" customHeight="true" outlineLevel="0" collapsed="false">
      <c r="A12" s="11" t="n">
        <v>8</v>
      </c>
      <c r="B12" s="7" t="s">
        <v>118</v>
      </c>
      <c r="C12" s="9" t="s">
        <v>138</v>
      </c>
      <c r="D12" s="9" t="s">
        <v>139</v>
      </c>
      <c r="E12" s="9" t="s">
        <v>37</v>
      </c>
      <c r="F12" s="10" t="s">
        <v>126</v>
      </c>
      <c r="G12" s="9" t="s">
        <v>140</v>
      </c>
    </row>
    <row r="13" customFormat="false" ht="34.5" hidden="false" customHeight="true" outlineLevel="0" collapsed="false">
      <c r="A13" s="11" t="n">
        <v>9</v>
      </c>
      <c r="B13" s="7" t="s">
        <v>118</v>
      </c>
      <c r="C13" s="9" t="s">
        <v>141</v>
      </c>
      <c r="D13" s="9" t="s">
        <v>128</v>
      </c>
      <c r="E13" s="9" t="s">
        <v>13</v>
      </c>
      <c r="F13" s="10" t="s">
        <v>126</v>
      </c>
      <c r="G13" s="9" t="s">
        <v>142</v>
      </c>
    </row>
    <row r="14" customFormat="false" ht="34.5" hidden="false" customHeight="true" outlineLevel="0" collapsed="false">
      <c r="A14" s="11" t="n">
        <v>10</v>
      </c>
      <c r="B14" s="7" t="s">
        <v>118</v>
      </c>
      <c r="C14" s="9" t="s">
        <v>143</v>
      </c>
      <c r="D14" s="9" t="s">
        <v>144</v>
      </c>
      <c r="E14" s="9" t="s">
        <v>37</v>
      </c>
      <c r="F14" s="10" t="s">
        <v>126</v>
      </c>
      <c r="G14" s="9"/>
    </row>
    <row r="15" customFormat="false" ht="34.5" hidden="false" customHeight="true" outlineLevel="0" collapsed="false">
      <c r="A15" s="11" t="n">
        <v>11</v>
      </c>
      <c r="B15" s="7" t="s">
        <v>118</v>
      </c>
      <c r="C15" s="9" t="s">
        <v>145</v>
      </c>
      <c r="D15" s="9" t="s">
        <v>146</v>
      </c>
      <c r="E15" s="9" t="s">
        <v>37</v>
      </c>
      <c r="F15" s="10" t="s">
        <v>126</v>
      </c>
      <c r="G15" s="9" t="s">
        <v>147</v>
      </c>
    </row>
    <row r="16" customFormat="false" ht="34.5" hidden="false" customHeight="true" outlineLevel="0" collapsed="false">
      <c r="A16" s="11" t="n">
        <v>12</v>
      </c>
      <c r="B16" s="7" t="s">
        <v>118</v>
      </c>
      <c r="C16" s="9" t="s">
        <v>148</v>
      </c>
      <c r="D16" s="9" t="s">
        <v>149</v>
      </c>
      <c r="E16" s="9" t="s">
        <v>121</v>
      </c>
      <c r="F16" s="10" t="s">
        <v>120</v>
      </c>
      <c r="G16" s="9" t="s">
        <v>150</v>
      </c>
    </row>
    <row r="17" customFormat="false" ht="34.5" hidden="false" customHeight="true" outlineLevel="0" collapsed="false">
      <c r="A17" s="11" t="n">
        <v>13</v>
      </c>
      <c r="B17" s="7" t="s">
        <v>118</v>
      </c>
      <c r="C17" s="9" t="s">
        <v>151</v>
      </c>
      <c r="D17" s="9" t="s">
        <v>120</v>
      </c>
      <c r="E17" s="9" t="s">
        <v>121</v>
      </c>
      <c r="F17" s="10" t="s">
        <v>120</v>
      </c>
      <c r="G17" s="9" t="s">
        <v>152</v>
      </c>
    </row>
    <row r="18" customFormat="false" ht="21" hidden="false" customHeight="true" outlineLevel="0" collapsed="false">
      <c r="A18" s="11" t="n">
        <v>14</v>
      </c>
      <c r="B18" s="7" t="s">
        <v>118</v>
      </c>
      <c r="C18" s="9" t="s">
        <v>153</v>
      </c>
      <c r="D18" s="9" t="s">
        <v>120</v>
      </c>
      <c r="E18" s="9" t="s">
        <v>121</v>
      </c>
      <c r="F18" s="10" t="s">
        <v>120</v>
      </c>
      <c r="G18" s="9" t="s">
        <v>152</v>
      </c>
    </row>
    <row r="19" customFormat="false" ht="21" hidden="false" customHeight="true" outlineLevel="0" collapsed="false">
      <c r="A19" s="11" t="n">
        <v>15</v>
      </c>
      <c r="B19" s="7" t="s">
        <v>118</v>
      </c>
      <c r="C19" s="9" t="s">
        <v>154</v>
      </c>
      <c r="D19" s="9" t="s">
        <v>155</v>
      </c>
      <c r="E19" s="9" t="s">
        <v>125</v>
      </c>
      <c r="F19" s="10" t="s">
        <v>156</v>
      </c>
      <c r="G19" s="9" t="s">
        <v>157</v>
      </c>
    </row>
    <row r="20" customFormat="false" ht="34.5" hidden="false" customHeight="true" outlineLevel="0" collapsed="false">
      <c r="A20" s="11" t="n">
        <v>16</v>
      </c>
      <c r="B20" s="7" t="s">
        <v>118</v>
      </c>
      <c r="C20" s="9" t="s">
        <v>158</v>
      </c>
      <c r="D20" s="9" t="s">
        <v>120</v>
      </c>
      <c r="E20" s="9" t="s">
        <v>121</v>
      </c>
      <c r="F20" s="10" t="s">
        <v>120</v>
      </c>
      <c r="G20" s="9" t="s">
        <v>159</v>
      </c>
    </row>
    <row r="21" customFormat="false" ht="34.5" hidden="false" customHeight="true" outlineLevel="0" collapsed="false">
      <c r="A21" s="11" t="n">
        <v>17</v>
      </c>
      <c r="B21" s="7" t="s">
        <v>118</v>
      </c>
      <c r="C21" s="9" t="s">
        <v>160</v>
      </c>
      <c r="D21" s="9" t="s">
        <v>120</v>
      </c>
      <c r="E21" s="9" t="s">
        <v>121</v>
      </c>
      <c r="F21" s="10" t="s">
        <v>120</v>
      </c>
      <c r="G21" s="9" t="s">
        <v>152</v>
      </c>
    </row>
    <row r="22" customFormat="false" ht="34.5" hidden="false" customHeight="true" outlineLevel="0" collapsed="false">
      <c r="A22" s="11" t="n">
        <v>18</v>
      </c>
      <c r="B22" s="7" t="s">
        <v>161</v>
      </c>
      <c r="C22" s="9" t="s">
        <v>162</v>
      </c>
      <c r="D22" s="9" t="s">
        <v>120</v>
      </c>
      <c r="E22" s="9" t="s">
        <v>121</v>
      </c>
      <c r="F22" s="10" t="s">
        <v>120</v>
      </c>
      <c r="G22" s="9"/>
    </row>
    <row r="23" customFormat="false" ht="34.5" hidden="false" customHeight="true" outlineLevel="0" collapsed="false">
      <c r="A23" s="11" t="n">
        <v>19</v>
      </c>
      <c r="B23" s="7" t="s">
        <v>161</v>
      </c>
      <c r="C23" s="9" t="s">
        <v>163</v>
      </c>
      <c r="D23" s="9" t="s">
        <v>120</v>
      </c>
      <c r="E23" s="9" t="s">
        <v>121</v>
      </c>
      <c r="F23" s="10" t="s">
        <v>120</v>
      </c>
      <c r="G23" s="9"/>
    </row>
    <row r="24" customFormat="false" ht="21" hidden="false" customHeight="true" outlineLevel="0" collapsed="false">
      <c r="A24" s="11" t="n">
        <v>20</v>
      </c>
      <c r="B24" s="7" t="s">
        <v>161</v>
      </c>
      <c r="C24" s="9" t="s">
        <v>164</v>
      </c>
      <c r="D24" s="9" t="s">
        <v>120</v>
      </c>
      <c r="E24" s="9" t="s">
        <v>121</v>
      </c>
      <c r="F24" s="10" t="s">
        <v>120</v>
      </c>
      <c r="G24" s="9"/>
    </row>
    <row r="25" customFormat="false" ht="34.5" hidden="false" customHeight="true" outlineLevel="0" collapsed="false">
      <c r="A25" s="11" t="n">
        <v>21</v>
      </c>
      <c r="B25" s="7" t="s">
        <v>161</v>
      </c>
      <c r="C25" s="9" t="s">
        <v>165</v>
      </c>
      <c r="D25" s="9" t="s">
        <v>120</v>
      </c>
      <c r="E25" s="9" t="s">
        <v>121</v>
      </c>
      <c r="F25" s="10" t="s">
        <v>166</v>
      </c>
      <c r="G25" s="9" t="s">
        <v>167</v>
      </c>
    </row>
    <row r="26" customFormat="false" ht="21" hidden="false" customHeight="true" outlineLevel="0" collapsed="false">
      <c r="A26" s="11" t="n">
        <v>22</v>
      </c>
      <c r="B26" s="7" t="s">
        <v>161</v>
      </c>
      <c r="C26" s="9" t="s">
        <v>168</v>
      </c>
      <c r="D26" s="9" t="s">
        <v>169</v>
      </c>
      <c r="E26" s="9" t="s">
        <v>125</v>
      </c>
      <c r="F26" s="10" t="s">
        <v>126</v>
      </c>
      <c r="G26" s="9"/>
    </row>
    <row r="27" customFormat="false" ht="21" hidden="false" customHeight="true" outlineLevel="0" collapsed="false">
      <c r="A27" s="11" t="n">
        <v>23</v>
      </c>
      <c r="B27" s="7" t="s">
        <v>161</v>
      </c>
      <c r="C27" s="9" t="s">
        <v>170</v>
      </c>
      <c r="D27" s="9" t="s">
        <v>171</v>
      </c>
      <c r="E27" s="9" t="s">
        <v>37</v>
      </c>
      <c r="F27" s="10" t="s">
        <v>126</v>
      </c>
      <c r="G27" s="9"/>
    </row>
    <row r="28" customFormat="false" ht="34.5" hidden="false" customHeight="true" outlineLevel="0" collapsed="false">
      <c r="A28" s="11" t="n">
        <v>24</v>
      </c>
      <c r="B28" s="7" t="s">
        <v>161</v>
      </c>
      <c r="C28" s="9" t="s">
        <v>172</v>
      </c>
      <c r="D28" s="9" t="s">
        <v>173</v>
      </c>
      <c r="E28" s="9" t="s">
        <v>37</v>
      </c>
      <c r="F28" s="10" t="s">
        <v>166</v>
      </c>
      <c r="G28" s="9" t="s">
        <v>174</v>
      </c>
    </row>
    <row r="29" customFormat="false" ht="34.5" hidden="false" customHeight="true" outlineLevel="0" collapsed="false">
      <c r="A29" s="11" t="n">
        <v>25</v>
      </c>
      <c r="B29" s="7" t="s">
        <v>161</v>
      </c>
      <c r="C29" s="9" t="s">
        <v>175</v>
      </c>
      <c r="D29" s="9" t="s">
        <v>176</v>
      </c>
      <c r="E29" s="9" t="s">
        <v>37</v>
      </c>
      <c r="F29" s="10" t="s">
        <v>126</v>
      </c>
      <c r="G29" s="9" t="s">
        <v>177</v>
      </c>
    </row>
    <row r="30" customFormat="false" ht="34.5" hidden="false" customHeight="true" outlineLevel="0" collapsed="false">
      <c r="A30" s="11" t="n">
        <v>26</v>
      </c>
      <c r="B30" s="7" t="s">
        <v>161</v>
      </c>
      <c r="C30" s="9" t="s">
        <v>178</v>
      </c>
      <c r="D30" s="9" t="s">
        <v>179</v>
      </c>
      <c r="E30" s="9" t="s">
        <v>13</v>
      </c>
      <c r="F30" s="10" t="s">
        <v>126</v>
      </c>
      <c r="G30" s="9"/>
    </row>
    <row r="31" customFormat="false" ht="21" hidden="false" customHeight="true" outlineLevel="0" collapsed="false">
      <c r="A31" s="11" t="n">
        <v>27</v>
      </c>
      <c r="B31" s="7" t="s">
        <v>161</v>
      </c>
      <c r="C31" s="9" t="s">
        <v>180</v>
      </c>
      <c r="D31" s="9" t="s">
        <v>181</v>
      </c>
      <c r="E31" s="9" t="s">
        <v>37</v>
      </c>
      <c r="F31" s="10" t="s">
        <v>126</v>
      </c>
      <c r="G31" s="9"/>
    </row>
    <row r="32" customFormat="false" ht="21" hidden="false" customHeight="true" outlineLevel="0" collapsed="false">
      <c r="A32" s="11" t="n">
        <v>28</v>
      </c>
      <c r="B32" s="7" t="s">
        <v>161</v>
      </c>
      <c r="C32" s="9" t="s">
        <v>182</v>
      </c>
      <c r="D32" s="9" t="s">
        <v>183</v>
      </c>
      <c r="E32" s="9" t="s">
        <v>37</v>
      </c>
      <c r="F32" s="10" t="s">
        <v>126</v>
      </c>
      <c r="G32" s="9"/>
    </row>
    <row r="33" customFormat="false" ht="34.5" hidden="false" customHeight="true" outlineLevel="0" collapsed="false">
      <c r="A33" s="11" t="n">
        <v>29</v>
      </c>
      <c r="B33" s="7" t="s">
        <v>161</v>
      </c>
      <c r="C33" s="9" t="s">
        <v>184</v>
      </c>
      <c r="D33" s="9" t="s">
        <v>185</v>
      </c>
      <c r="E33" s="9" t="s">
        <v>186</v>
      </c>
      <c r="F33" s="10" t="s">
        <v>126</v>
      </c>
      <c r="G33" s="9" t="s">
        <v>187</v>
      </c>
    </row>
    <row r="34" customFormat="false" ht="34.5" hidden="false" customHeight="true" outlineLevel="0" collapsed="false">
      <c r="A34" s="11" t="n">
        <v>30</v>
      </c>
      <c r="B34" s="7" t="s">
        <v>161</v>
      </c>
      <c r="C34" s="9" t="s">
        <v>188</v>
      </c>
      <c r="D34" s="9" t="s">
        <v>189</v>
      </c>
      <c r="E34" s="9" t="s">
        <v>37</v>
      </c>
      <c r="F34" s="10" t="s">
        <v>126</v>
      </c>
      <c r="G34" s="9"/>
    </row>
    <row r="35" customFormat="false" ht="34.5" hidden="false" customHeight="true" outlineLevel="0" collapsed="false">
      <c r="A35" s="11" t="n">
        <v>31</v>
      </c>
      <c r="B35" s="7" t="s">
        <v>161</v>
      </c>
      <c r="C35" s="9" t="s">
        <v>190</v>
      </c>
      <c r="D35" s="9" t="s">
        <v>191</v>
      </c>
      <c r="E35" s="9" t="s">
        <v>192</v>
      </c>
      <c r="F35" s="10" t="s">
        <v>156</v>
      </c>
      <c r="G35" s="9" t="s">
        <v>193</v>
      </c>
    </row>
    <row r="36" customFormat="false" ht="34.5" hidden="false" customHeight="true" outlineLevel="0" collapsed="false">
      <c r="A36" s="11" t="n">
        <v>32</v>
      </c>
      <c r="B36" s="7" t="s">
        <v>161</v>
      </c>
      <c r="C36" s="9" t="s">
        <v>194</v>
      </c>
      <c r="D36" s="9" t="s">
        <v>149</v>
      </c>
      <c r="E36" s="9" t="s">
        <v>121</v>
      </c>
      <c r="F36" s="10" t="s">
        <v>120</v>
      </c>
      <c r="G36" s="9" t="s">
        <v>195</v>
      </c>
    </row>
    <row r="37" customFormat="false" ht="34.5" hidden="false" customHeight="true" outlineLevel="0" collapsed="false">
      <c r="A37" s="11" t="n">
        <v>33</v>
      </c>
      <c r="B37" s="7" t="s">
        <v>161</v>
      </c>
      <c r="C37" s="9" t="s">
        <v>196</v>
      </c>
      <c r="D37" s="9" t="s">
        <v>197</v>
      </c>
      <c r="E37" s="9" t="s">
        <v>125</v>
      </c>
      <c r="F37" s="10" t="s">
        <v>156</v>
      </c>
      <c r="G37" s="9" t="s">
        <v>198</v>
      </c>
    </row>
    <row r="38" customFormat="false" ht="21" hidden="false" customHeight="true" outlineLevel="0" collapsed="false">
      <c r="A38" s="11" t="n">
        <v>34</v>
      </c>
      <c r="B38" s="7" t="s">
        <v>161</v>
      </c>
      <c r="C38" s="9" t="s">
        <v>199</v>
      </c>
      <c r="D38" s="9" t="s">
        <v>120</v>
      </c>
      <c r="E38" s="9" t="s">
        <v>121</v>
      </c>
      <c r="F38" s="10" t="s">
        <v>120</v>
      </c>
      <c r="G38" s="9"/>
    </row>
    <row r="39" customFormat="false" ht="21" hidden="false" customHeight="true" outlineLevel="0" collapsed="false">
      <c r="A39" s="11" t="n">
        <v>35</v>
      </c>
      <c r="B39" s="7" t="s">
        <v>161</v>
      </c>
      <c r="C39" s="9" t="s">
        <v>200</v>
      </c>
      <c r="D39" s="9" t="s">
        <v>120</v>
      </c>
      <c r="E39" s="9" t="s">
        <v>121</v>
      </c>
      <c r="F39" s="10" t="s">
        <v>120</v>
      </c>
      <c r="G39" s="9"/>
    </row>
    <row r="40" customFormat="false" ht="21" hidden="false" customHeight="true" outlineLevel="0" collapsed="false">
      <c r="A40" s="11" t="n">
        <v>36</v>
      </c>
      <c r="B40" s="7" t="s">
        <v>161</v>
      </c>
      <c r="C40" s="9" t="s">
        <v>201</v>
      </c>
      <c r="D40" s="9" t="s">
        <v>155</v>
      </c>
      <c r="E40" s="9" t="s">
        <v>125</v>
      </c>
      <c r="F40" s="10" t="s">
        <v>156</v>
      </c>
      <c r="G40" s="9" t="s">
        <v>202</v>
      </c>
    </row>
    <row r="41" customFormat="false" ht="21" hidden="false" customHeight="true" outlineLevel="0" collapsed="false">
      <c r="A41" s="11" t="n">
        <v>37</v>
      </c>
      <c r="B41" s="7" t="s">
        <v>161</v>
      </c>
      <c r="C41" s="9" t="s">
        <v>203</v>
      </c>
      <c r="D41" s="9" t="s">
        <v>204</v>
      </c>
      <c r="E41" s="9" t="s">
        <v>205</v>
      </c>
      <c r="F41" s="10" t="s">
        <v>126</v>
      </c>
      <c r="G41" s="9" t="s">
        <v>206</v>
      </c>
    </row>
    <row r="42" customFormat="false" ht="34.5" hidden="false" customHeight="true" outlineLevel="0" collapsed="false">
      <c r="A42" s="11" t="n">
        <v>38</v>
      </c>
      <c r="B42" s="7" t="s">
        <v>207</v>
      </c>
      <c r="C42" s="9" t="s">
        <v>208</v>
      </c>
      <c r="D42" s="9" t="s">
        <v>120</v>
      </c>
      <c r="E42" s="9" t="s">
        <v>121</v>
      </c>
      <c r="F42" s="10" t="s">
        <v>166</v>
      </c>
      <c r="G42" s="9" t="s">
        <v>209</v>
      </c>
    </row>
    <row r="43" customFormat="false" ht="21" hidden="false" customHeight="true" outlineLevel="0" collapsed="false">
      <c r="A43" s="11" t="n">
        <v>39</v>
      </c>
      <c r="B43" s="7" t="s">
        <v>207</v>
      </c>
      <c r="C43" s="9" t="s">
        <v>210</v>
      </c>
      <c r="D43" s="9" t="s">
        <v>169</v>
      </c>
      <c r="E43" s="9" t="s">
        <v>125</v>
      </c>
      <c r="F43" s="10" t="s">
        <v>126</v>
      </c>
      <c r="G43" s="9"/>
    </row>
    <row r="44" customFormat="false" ht="21" hidden="false" customHeight="true" outlineLevel="0" collapsed="false">
      <c r="A44" s="11" t="n">
        <v>40</v>
      </c>
      <c r="B44" s="7" t="s">
        <v>207</v>
      </c>
      <c r="C44" s="9" t="s">
        <v>211</v>
      </c>
      <c r="D44" s="9" t="s">
        <v>155</v>
      </c>
      <c r="E44" s="9" t="s">
        <v>125</v>
      </c>
      <c r="F44" s="10" t="s">
        <v>156</v>
      </c>
      <c r="G44" s="9" t="s">
        <v>157</v>
      </c>
    </row>
    <row r="45" customFormat="false" ht="34.5" hidden="false" customHeight="true" outlineLevel="0" collapsed="false">
      <c r="A45" s="11" t="n">
        <v>41</v>
      </c>
      <c r="B45" s="7" t="s">
        <v>207</v>
      </c>
      <c r="C45" s="9" t="s">
        <v>212</v>
      </c>
      <c r="D45" s="9" t="s">
        <v>128</v>
      </c>
      <c r="E45" s="9" t="s">
        <v>13</v>
      </c>
      <c r="F45" s="10" t="s">
        <v>166</v>
      </c>
      <c r="G45" s="9" t="s">
        <v>213</v>
      </c>
    </row>
    <row r="46" customFormat="false" ht="21" hidden="false" customHeight="true" outlineLevel="0" collapsed="false">
      <c r="A46" s="11" t="n">
        <v>42</v>
      </c>
      <c r="B46" s="7" t="s">
        <v>207</v>
      </c>
      <c r="C46" s="9" t="s">
        <v>214</v>
      </c>
      <c r="D46" s="9" t="s">
        <v>215</v>
      </c>
      <c r="E46" s="9" t="s">
        <v>37</v>
      </c>
      <c r="F46" s="10" t="s">
        <v>126</v>
      </c>
      <c r="G46" s="9" t="s">
        <v>216</v>
      </c>
    </row>
    <row r="47" customFormat="false" ht="21" hidden="false" customHeight="true" outlineLevel="0" collapsed="false">
      <c r="A47" s="11" t="n">
        <v>43</v>
      </c>
      <c r="B47" s="7" t="s">
        <v>207</v>
      </c>
      <c r="C47" s="9" t="s">
        <v>217</v>
      </c>
      <c r="D47" s="9" t="s">
        <v>218</v>
      </c>
      <c r="E47" s="9" t="s">
        <v>37</v>
      </c>
      <c r="F47" s="10" t="s">
        <v>126</v>
      </c>
      <c r="G47" s="9"/>
    </row>
    <row r="48" customFormat="false" ht="21" hidden="false" customHeight="true" outlineLevel="0" collapsed="false">
      <c r="A48" s="11" t="n">
        <v>44</v>
      </c>
      <c r="B48" s="7" t="s">
        <v>207</v>
      </c>
      <c r="C48" s="9" t="s">
        <v>219</v>
      </c>
      <c r="D48" s="9" t="s">
        <v>120</v>
      </c>
      <c r="E48" s="9" t="s">
        <v>121</v>
      </c>
      <c r="F48" s="10" t="s">
        <v>120</v>
      </c>
      <c r="G48" s="9" t="s">
        <v>220</v>
      </c>
    </row>
    <row r="49" customFormat="false" ht="21" hidden="false" customHeight="true" outlineLevel="0" collapsed="false">
      <c r="A49" s="11" t="n">
        <v>45</v>
      </c>
      <c r="B49" s="7" t="s">
        <v>207</v>
      </c>
      <c r="C49" s="9" t="s">
        <v>221</v>
      </c>
      <c r="D49" s="9" t="s">
        <v>222</v>
      </c>
      <c r="E49" s="9" t="s">
        <v>186</v>
      </c>
      <c r="F49" s="10" t="s">
        <v>126</v>
      </c>
      <c r="G49" s="9"/>
    </row>
    <row r="50" customFormat="false" ht="34.5" hidden="false" customHeight="true" outlineLevel="0" collapsed="false">
      <c r="A50" s="11" t="n">
        <v>46</v>
      </c>
      <c r="B50" s="7" t="s">
        <v>207</v>
      </c>
      <c r="C50" s="9" t="s">
        <v>223</v>
      </c>
      <c r="D50" s="9" t="s">
        <v>224</v>
      </c>
      <c r="E50" s="9" t="s">
        <v>37</v>
      </c>
      <c r="F50" s="10" t="s">
        <v>126</v>
      </c>
      <c r="G50" s="9"/>
    </row>
    <row r="51" customFormat="false" ht="21" hidden="false" customHeight="true" outlineLevel="0" collapsed="false">
      <c r="A51" s="11" t="n">
        <v>47</v>
      </c>
      <c r="B51" s="7" t="s">
        <v>207</v>
      </c>
      <c r="C51" s="9" t="s">
        <v>225</v>
      </c>
      <c r="D51" s="9" t="s">
        <v>226</v>
      </c>
      <c r="E51" s="9" t="s">
        <v>37</v>
      </c>
      <c r="F51" s="10" t="s">
        <v>126</v>
      </c>
      <c r="G51" s="9" t="s">
        <v>227</v>
      </c>
    </row>
    <row r="52" customFormat="false" ht="21" hidden="false" customHeight="true" outlineLevel="0" collapsed="false">
      <c r="A52" s="11" t="n">
        <v>48</v>
      </c>
      <c r="B52" s="7" t="s">
        <v>207</v>
      </c>
      <c r="C52" s="9" t="s">
        <v>228</v>
      </c>
      <c r="D52" s="9" t="s">
        <v>229</v>
      </c>
      <c r="E52" s="9" t="s">
        <v>37</v>
      </c>
      <c r="F52" s="10" t="s">
        <v>126</v>
      </c>
      <c r="G52" s="9" t="s">
        <v>227</v>
      </c>
    </row>
    <row r="53" customFormat="false" ht="21" hidden="false" customHeight="true" outlineLevel="0" collapsed="false">
      <c r="A53" s="11" t="n">
        <v>49</v>
      </c>
      <c r="B53" s="7" t="s">
        <v>207</v>
      </c>
      <c r="C53" s="9" t="s">
        <v>230</v>
      </c>
      <c r="D53" s="9" t="s">
        <v>181</v>
      </c>
      <c r="E53" s="9" t="s">
        <v>37</v>
      </c>
      <c r="F53" s="10" t="s">
        <v>126</v>
      </c>
      <c r="G53" s="9" t="s">
        <v>227</v>
      </c>
    </row>
    <row r="54" customFormat="false" ht="34.5" hidden="false" customHeight="true" outlineLevel="0" collapsed="false">
      <c r="A54" s="11" t="n">
        <v>50</v>
      </c>
      <c r="B54" s="7" t="s">
        <v>207</v>
      </c>
      <c r="C54" s="9" t="s">
        <v>231</v>
      </c>
      <c r="D54" s="9" t="s">
        <v>232</v>
      </c>
      <c r="E54" s="9" t="s">
        <v>125</v>
      </c>
      <c r="F54" s="10" t="s">
        <v>166</v>
      </c>
      <c r="G54" s="9" t="s">
        <v>233</v>
      </c>
    </row>
    <row r="55" customFormat="false" ht="21" hidden="false" customHeight="true" outlineLevel="0" collapsed="false">
      <c r="A55" s="11" t="n">
        <v>51</v>
      </c>
      <c r="B55" s="7" t="s">
        <v>207</v>
      </c>
      <c r="C55" s="9" t="s">
        <v>234</v>
      </c>
      <c r="D55" s="9" t="s">
        <v>155</v>
      </c>
      <c r="E55" s="9" t="s">
        <v>125</v>
      </c>
      <c r="F55" s="10" t="s">
        <v>156</v>
      </c>
      <c r="G55" s="9" t="s">
        <v>235</v>
      </c>
    </row>
    <row r="56" customFormat="false" ht="34.5" hidden="false" customHeight="true" outlineLevel="0" collapsed="false">
      <c r="A56" s="11" t="n">
        <v>52</v>
      </c>
      <c r="B56" s="7" t="s">
        <v>207</v>
      </c>
      <c r="C56" s="9" t="s">
        <v>236</v>
      </c>
      <c r="D56" s="9" t="s">
        <v>189</v>
      </c>
      <c r="E56" s="9" t="s">
        <v>37</v>
      </c>
      <c r="F56" s="10" t="s">
        <v>126</v>
      </c>
      <c r="G56" s="9"/>
    </row>
    <row r="57" customFormat="false" ht="21" hidden="false" customHeight="true" outlineLevel="0" collapsed="false">
      <c r="A57" s="11" t="n">
        <v>53</v>
      </c>
      <c r="B57" s="7" t="s">
        <v>207</v>
      </c>
      <c r="C57" s="9" t="s">
        <v>237</v>
      </c>
      <c r="D57" s="9" t="s">
        <v>185</v>
      </c>
      <c r="E57" s="9" t="s">
        <v>186</v>
      </c>
      <c r="F57" s="10" t="s">
        <v>126</v>
      </c>
      <c r="G57" s="9"/>
    </row>
    <row r="58" customFormat="false" ht="21" hidden="false" customHeight="true" outlineLevel="0" collapsed="false">
      <c r="A58" s="11" t="n">
        <v>54</v>
      </c>
      <c r="B58" s="7" t="s">
        <v>207</v>
      </c>
      <c r="C58" s="9" t="s">
        <v>238</v>
      </c>
      <c r="D58" s="9" t="s">
        <v>191</v>
      </c>
      <c r="E58" s="9" t="s">
        <v>192</v>
      </c>
      <c r="F58" s="10" t="s">
        <v>156</v>
      </c>
      <c r="G58" s="9" t="s">
        <v>239</v>
      </c>
    </row>
    <row r="59" customFormat="false" ht="21" hidden="false" customHeight="true" outlineLevel="0" collapsed="false">
      <c r="A59" s="11" t="n">
        <v>55</v>
      </c>
      <c r="B59" s="7" t="s">
        <v>207</v>
      </c>
      <c r="C59" s="9" t="s">
        <v>240</v>
      </c>
      <c r="D59" s="9" t="s">
        <v>155</v>
      </c>
      <c r="E59" s="9" t="s">
        <v>125</v>
      </c>
      <c r="F59" s="10" t="s">
        <v>156</v>
      </c>
      <c r="G59" s="9" t="s">
        <v>157</v>
      </c>
    </row>
    <row r="60" customFormat="false" ht="34.5" hidden="false" customHeight="true" outlineLevel="0" collapsed="false">
      <c r="A60" s="11" t="n">
        <v>56</v>
      </c>
      <c r="B60" s="7" t="s">
        <v>207</v>
      </c>
      <c r="C60" s="9" t="s">
        <v>241</v>
      </c>
      <c r="D60" s="9" t="s">
        <v>204</v>
      </c>
      <c r="E60" s="9" t="s">
        <v>205</v>
      </c>
      <c r="F60" s="10" t="s">
        <v>126</v>
      </c>
      <c r="G60" s="9"/>
    </row>
    <row r="61" customFormat="false" ht="21" hidden="false" customHeight="true" outlineLevel="0" collapsed="false">
      <c r="A61" s="11" t="n">
        <v>57</v>
      </c>
      <c r="B61" s="7" t="s">
        <v>242</v>
      </c>
      <c r="C61" s="9" t="s">
        <v>243</v>
      </c>
      <c r="D61" s="9" t="s">
        <v>120</v>
      </c>
      <c r="E61" s="9" t="s">
        <v>121</v>
      </c>
      <c r="F61" s="10" t="s">
        <v>120</v>
      </c>
      <c r="G61" s="9"/>
    </row>
    <row r="62" customFormat="false" ht="21" hidden="false" customHeight="true" outlineLevel="0" collapsed="false">
      <c r="A62" s="11" t="n">
        <v>58</v>
      </c>
      <c r="B62" s="7" t="s">
        <v>242</v>
      </c>
      <c r="C62" s="9" t="s">
        <v>244</v>
      </c>
      <c r="D62" s="9" t="s">
        <v>226</v>
      </c>
      <c r="E62" s="9" t="s">
        <v>37</v>
      </c>
      <c r="F62" s="10" t="s">
        <v>126</v>
      </c>
      <c r="G62" s="9"/>
    </row>
    <row r="63" customFormat="false" ht="21" hidden="false" customHeight="true" outlineLevel="0" collapsed="false">
      <c r="A63" s="11" t="n">
        <v>59</v>
      </c>
      <c r="B63" s="7" t="s">
        <v>242</v>
      </c>
      <c r="C63" s="9" t="s">
        <v>245</v>
      </c>
      <c r="D63" s="9" t="s">
        <v>246</v>
      </c>
      <c r="E63" s="9" t="s">
        <v>37</v>
      </c>
      <c r="F63" s="10" t="s">
        <v>126</v>
      </c>
      <c r="G63" s="9"/>
    </row>
    <row r="64" customFormat="false" ht="21" hidden="false" customHeight="true" outlineLevel="0" collapsed="false">
      <c r="A64" s="11" t="n">
        <v>60</v>
      </c>
      <c r="B64" s="7" t="s">
        <v>242</v>
      </c>
      <c r="C64" s="9" t="s">
        <v>247</v>
      </c>
      <c r="D64" s="9" t="s">
        <v>248</v>
      </c>
      <c r="E64" s="9" t="s">
        <v>37</v>
      </c>
      <c r="F64" s="10" t="s">
        <v>126</v>
      </c>
      <c r="G64" s="9"/>
    </row>
    <row r="65" customFormat="false" ht="21" hidden="false" customHeight="true" outlineLevel="0" collapsed="false">
      <c r="A65" s="11" t="n">
        <v>61</v>
      </c>
      <c r="B65" s="7" t="s">
        <v>242</v>
      </c>
      <c r="C65" s="9" t="s">
        <v>249</v>
      </c>
      <c r="D65" s="9" t="s">
        <v>204</v>
      </c>
      <c r="E65" s="9" t="s">
        <v>205</v>
      </c>
      <c r="F65" s="10" t="s">
        <v>126</v>
      </c>
      <c r="G65" s="9"/>
    </row>
    <row r="66" customFormat="false" ht="21" hidden="false" customHeight="true" outlineLevel="0" collapsed="false">
      <c r="A66" s="11" t="n">
        <v>62</v>
      </c>
      <c r="B66" s="7" t="s">
        <v>242</v>
      </c>
      <c r="C66" s="9" t="s">
        <v>250</v>
      </c>
      <c r="D66" s="9" t="s">
        <v>251</v>
      </c>
      <c r="E66" s="9" t="s">
        <v>37</v>
      </c>
      <c r="F66" s="10" t="s">
        <v>126</v>
      </c>
      <c r="G66" s="9"/>
    </row>
    <row r="67" customFormat="false" ht="34.5" hidden="false" customHeight="true" outlineLevel="0" collapsed="false">
      <c r="A67" s="11" t="n">
        <v>63</v>
      </c>
      <c r="B67" s="7" t="s">
        <v>242</v>
      </c>
      <c r="C67" s="9" t="s">
        <v>252</v>
      </c>
      <c r="D67" s="9" t="s">
        <v>253</v>
      </c>
      <c r="E67" s="9" t="s">
        <v>13</v>
      </c>
      <c r="F67" s="10" t="s">
        <v>126</v>
      </c>
      <c r="G67" s="9" t="s">
        <v>254</v>
      </c>
    </row>
    <row r="68" customFormat="false" ht="34.5" hidden="false" customHeight="true" outlineLevel="0" collapsed="false">
      <c r="A68" s="11" t="n">
        <v>64</v>
      </c>
      <c r="B68" s="7" t="s">
        <v>242</v>
      </c>
      <c r="C68" s="9" t="s">
        <v>255</v>
      </c>
      <c r="D68" s="9" t="s">
        <v>256</v>
      </c>
      <c r="E68" s="9" t="s">
        <v>37</v>
      </c>
      <c r="F68" s="10" t="s">
        <v>166</v>
      </c>
      <c r="G68" s="9" t="s">
        <v>257</v>
      </c>
    </row>
    <row r="69" customFormat="false" ht="34.5" hidden="false" customHeight="true" outlineLevel="0" collapsed="false">
      <c r="A69" s="11" t="n">
        <v>65</v>
      </c>
      <c r="B69" s="7" t="s">
        <v>242</v>
      </c>
      <c r="C69" s="9" t="s">
        <v>258</v>
      </c>
      <c r="D69" s="9" t="s">
        <v>191</v>
      </c>
      <c r="E69" s="9" t="s">
        <v>192</v>
      </c>
      <c r="F69" s="10" t="s">
        <v>156</v>
      </c>
      <c r="G69" s="9" t="s">
        <v>259</v>
      </c>
    </row>
    <row r="70" customFormat="false" ht="21" hidden="false" customHeight="true" outlineLevel="0" collapsed="false">
      <c r="A70" s="11" t="n">
        <v>66</v>
      </c>
      <c r="B70" s="7" t="s">
        <v>242</v>
      </c>
      <c r="C70" s="9" t="s">
        <v>260</v>
      </c>
      <c r="D70" s="9" t="s">
        <v>261</v>
      </c>
      <c r="E70" s="9" t="s">
        <v>37</v>
      </c>
      <c r="F70" s="10" t="s">
        <v>126</v>
      </c>
      <c r="G70" s="9"/>
    </row>
    <row r="71" customFormat="false" ht="34.5" hidden="false" customHeight="true" outlineLevel="0" collapsed="false">
      <c r="A71" s="11" t="n">
        <v>67</v>
      </c>
      <c r="B71" s="7" t="s">
        <v>242</v>
      </c>
      <c r="C71" s="9" t="s">
        <v>262</v>
      </c>
      <c r="D71" s="9" t="s">
        <v>263</v>
      </c>
      <c r="E71" s="9" t="s">
        <v>205</v>
      </c>
      <c r="F71" s="10" t="s">
        <v>126</v>
      </c>
      <c r="G71" s="9"/>
    </row>
    <row r="72" customFormat="false" ht="21" hidden="false" customHeight="true" outlineLevel="0" collapsed="false">
      <c r="A72" s="11" t="n">
        <v>68</v>
      </c>
      <c r="B72" s="7" t="s">
        <v>242</v>
      </c>
      <c r="C72" s="9" t="s">
        <v>264</v>
      </c>
      <c r="D72" s="9" t="s">
        <v>191</v>
      </c>
      <c r="E72" s="9" t="s">
        <v>192</v>
      </c>
      <c r="F72" s="10" t="s">
        <v>156</v>
      </c>
      <c r="G72" s="9" t="s">
        <v>265</v>
      </c>
    </row>
    <row r="73" customFormat="false" ht="21" hidden="false" customHeight="true" outlineLevel="0" collapsed="false">
      <c r="A73" s="11" t="n">
        <v>69</v>
      </c>
      <c r="B73" s="7" t="s">
        <v>242</v>
      </c>
      <c r="C73" s="9" t="s">
        <v>266</v>
      </c>
      <c r="D73" s="9" t="s">
        <v>120</v>
      </c>
      <c r="E73" s="9" t="s">
        <v>121</v>
      </c>
      <c r="F73" s="10" t="s">
        <v>120</v>
      </c>
      <c r="G73" s="9"/>
    </row>
    <row r="74" customFormat="false" ht="48" hidden="false" customHeight="true" outlineLevel="0" collapsed="false">
      <c r="A74" s="11" t="n">
        <v>70</v>
      </c>
      <c r="B74" s="7" t="s">
        <v>242</v>
      </c>
      <c r="C74" s="9" t="s">
        <v>267</v>
      </c>
      <c r="D74" s="9" t="s">
        <v>192</v>
      </c>
      <c r="E74" s="9" t="s">
        <v>192</v>
      </c>
      <c r="F74" s="10" t="s">
        <v>166</v>
      </c>
      <c r="G74" s="9" t="s">
        <v>268</v>
      </c>
    </row>
    <row r="75" customFormat="false" ht="34.5" hidden="false" customHeight="true" outlineLevel="0" collapsed="false">
      <c r="A75" s="11" t="n">
        <v>71</v>
      </c>
      <c r="B75" s="7" t="s">
        <v>269</v>
      </c>
      <c r="C75" s="9" t="s">
        <v>270</v>
      </c>
      <c r="D75" s="9" t="s">
        <v>271</v>
      </c>
      <c r="E75" s="9" t="s">
        <v>13</v>
      </c>
      <c r="F75" s="10" t="s">
        <v>166</v>
      </c>
      <c r="G75" s="9" t="s">
        <v>272</v>
      </c>
    </row>
    <row r="76" customFormat="false" ht="34.5" hidden="false" customHeight="true" outlineLevel="0" collapsed="false">
      <c r="A76" s="11" t="n">
        <v>72</v>
      </c>
      <c r="B76" s="7" t="s">
        <v>269</v>
      </c>
      <c r="C76" s="9" t="s">
        <v>273</v>
      </c>
      <c r="D76" s="9" t="s">
        <v>274</v>
      </c>
      <c r="E76" s="9" t="s">
        <v>205</v>
      </c>
      <c r="F76" s="10" t="s">
        <v>166</v>
      </c>
      <c r="G76" s="9" t="s">
        <v>275</v>
      </c>
    </row>
  </sheetData>
  <autoFilter ref="A4:G76"/>
  <mergeCells count="3">
    <mergeCell ref="A1:G1"/>
    <mergeCell ref="A2:G2"/>
    <mergeCell ref="A3:G3"/>
  </mergeCells>
  <conditionalFormatting sqref="F5:F96">
    <cfRule type="cellIs" priority="2" operator="equal" aboveAverage="0" equalAverage="0" bottom="0" percent="0" rank="0" text="" dxfId="14">
      <formula>"Terhubung"</formula>
    </cfRule>
    <cfRule type="cellIs" priority="3" operator="equal" aboveAverage="0" equalAverage="0" bottom="0" percent="0" rank="0" text="" dxfId="16">
      <formula>"Data tetap"</formula>
    </cfRule>
    <cfRule type="cellIs" priority="4" operator="equal" aboveAverage="0" equalAverage="0" bottom="0" percent="0" rank="0" text="" dxfId="15">
      <formula>"Belum ada input"</formula>
    </cfRule>
    <cfRule type="cellIs" priority="5" operator="equal" aboveAverage="0" equalAverage="0" bottom="0" percent="0" rank="0" text="" dxfId="20">
      <formula>"Berbeda dari template"</formula>
    </cfRule>
  </conditionalFormatting>
  <dataValidations count="1">
    <dataValidation allowBlank="true" errorStyle="stop" operator="between" showDropDown="false" showErrorMessage="false" showInputMessage="false" sqref="F5:F96" type="list">
      <formula1>"Terhubung,Data tetap,Belum ada input,Berbeda dari template"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7" min="3" style="0" width="16"/>
  </cols>
  <sheetData>
    <row r="1" customFormat="false" ht="16.15" hidden="false" customHeight="false" outlineLevel="0" collapsed="false">
      <c r="A1" s="12" t="s">
        <v>276</v>
      </c>
    </row>
    <row r="3" customFormat="false" ht="15" hidden="false" customHeight="false" outlineLevel="0" collapsed="false">
      <c r="A3" s="13" t="s">
        <v>277</v>
      </c>
      <c r="B3" s="14" t="n">
        <f aca="false">MAX('Alur Data'!A5:A44)</f>
        <v>5</v>
      </c>
    </row>
    <row r="4" customFormat="false" ht="15" hidden="false" customHeight="false" outlineLevel="0" collapsed="false">
      <c r="A4" s="13" t="s">
        <v>278</v>
      </c>
      <c r="B4" s="14" t="n">
        <f aca="false">COUNTA('Alur Data'!B5:B44)</f>
        <v>20</v>
      </c>
    </row>
    <row r="5" customFormat="false" ht="15" hidden="false" customHeight="false" outlineLevel="0" collapsed="false">
      <c r="A5" s="13" t="s">
        <v>279</v>
      </c>
      <c r="B5" s="15" t="n">
        <v>4</v>
      </c>
      <c r="C5" s="16" t="s">
        <v>280</v>
      </c>
    </row>
    <row r="7" customFormat="false" ht="15" hidden="false" customHeight="false" outlineLevel="0" collapsed="false">
      <c r="A7" s="17" t="s">
        <v>10</v>
      </c>
      <c r="B7" s="17" t="s">
        <v>281</v>
      </c>
    </row>
    <row r="8" customFormat="false" ht="15" hidden="false" customHeight="false" outlineLevel="0" collapsed="false">
      <c r="A8" s="18" t="s">
        <v>42</v>
      </c>
      <c r="B8" s="14" t="n">
        <f aca="false">COUNTIF('Alur Data'!$H$5:$H$44,A8)</f>
        <v>4</v>
      </c>
    </row>
    <row r="9" customFormat="false" ht="15" hidden="false" customHeight="false" outlineLevel="0" collapsed="false">
      <c r="A9" s="19" t="s">
        <v>18</v>
      </c>
      <c r="B9" s="14" t="n">
        <f aca="false">COUNTIF('Alur Data'!$H$5:$H$44,A9)</f>
        <v>9</v>
      </c>
    </row>
    <row r="10" customFormat="false" ht="15" hidden="false" customHeight="false" outlineLevel="0" collapsed="false">
      <c r="A10" s="20" t="s">
        <v>47</v>
      </c>
      <c r="B10" s="14" t="n">
        <f aca="false">COUNTIF('Alur Data'!$H$5:$H$44,A10)</f>
        <v>4</v>
      </c>
    </row>
    <row r="11" customFormat="false" ht="15" hidden="false" customHeight="false" outlineLevel="0" collapsed="false">
      <c r="A11" s="21" t="s">
        <v>35</v>
      </c>
      <c r="B11" s="14" t="n">
        <f aca="false">COUNTIF('Alur Data'!$H$5:$H$44,A11)</f>
        <v>3</v>
      </c>
    </row>
    <row r="12" customFormat="false" ht="15" hidden="false" customHeight="false" outlineLevel="0" collapsed="false">
      <c r="A12" s="22" t="s">
        <v>282</v>
      </c>
      <c r="B12" s="23" t="n">
        <f aca="false">SUM(B8:B11)</f>
        <v>20</v>
      </c>
    </row>
    <row r="14" customFormat="false" ht="15" hidden="false" customHeight="false" outlineLevel="0" collapsed="false">
      <c r="A14" s="16" t="s">
        <v>283</v>
      </c>
    </row>
    <row r="16" customFormat="false" ht="15" hidden="false" customHeight="false" outlineLevel="0" collapsed="false">
      <c r="A16" s="24" t="s">
        <v>5</v>
      </c>
      <c r="B16" s="24" t="s">
        <v>281</v>
      </c>
      <c r="C16" s="25" t="s">
        <v>284</v>
      </c>
      <c r="D16" s="25"/>
      <c r="E16" s="25"/>
      <c r="F16" s="25"/>
      <c r="G16" s="25"/>
    </row>
    <row r="17" customFormat="false" ht="30" hidden="false" customHeight="true" outlineLevel="0" collapsed="false">
      <c r="A17" s="7" t="s">
        <v>13</v>
      </c>
      <c r="B17" s="26" t="n">
        <f aca="false">COUNTIF('Alur Data'!$C$5:$C$44,A17)</f>
        <v>3</v>
      </c>
      <c r="C17" s="9" t="s">
        <v>285</v>
      </c>
      <c r="D17" s="9"/>
      <c r="E17" s="9"/>
      <c r="F17" s="9"/>
      <c r="G17" s="9"/>
    </row>
    <row r="18" customFormat="false" ht="30" hidden="false" customHeight="true" outlineLevel="0" collapsed="false">
      <c r="A18" s="7" t="s">
        <v>30</v>
      </c>
      <c r="B18" s="26" t="n">
        <f aca="false">COUNTIF('Alur Data'!$C$5:$C$44,A18)</f>
        <v>1</v>
      </c>
      <c r="C18" s="9" t="s">
        <v>286</v>
      </c>
      <c r="D18" s="9"/>
      <c r="E18" s="9"/>
      <c r="F18" s="9"/>
      <c r="G18" s="9"/>
    </row>
    <row r="19" customFormat="false" ht="30" hidden="false" customHeight="true" outlineLevel="0" collapsed="false">
      <c r="A19" s="7" t="s">
        <v>37</v>
      </c>
      <c r="B19" s="26" t="n">
        <f aca="false">COUNTIF('Alur Data'!$C$5:$C$44,A19)</f>
        <v>9</v>
      </c>
      <c r="C19" s="9" t="s">
        <v>287</v>
      </c>
      <c r="D19" s="9"/>
      <c r="E19" s="9"/>
      <c r="F19" s="9"/>
      <c r="G19" s="9"/>
    </row>
    <row r="20" customFormat="false" ht="30" hidden="false" customHeight="true" outlineLevel="0" collapsed="false">
      <c r="A20" s="7" t="s">
        <v>77</v>
      </c>
      <c r="B20" s="26" t="n">
        <f aca="false">COUNTIF('Alur Data'!$C$5:$C$44,A20)</f>
        <v>5</v>
      </c>
      <c r="C20" s="9" t="s">
        <v>288</v>
      </c>
      <c r="D20" s="9"/>
      <c r="E20" s="9"/>
      <c r="F20" s="9"/>
      <c r="G20" s="9"/>
    </row>
    <row r="21" customFormat="false" ht="30" hidden="false" customHeight="true" outlineLevel="0" collapsed="false">
      <c r="A21" s="7" t="s">
        <v>100</v>
      </c>
      <c r="B21" s="26" t="n">
        <f aca="false">COUNTIF('Alur Data'!$C$5:$C$44,A21)</f>
        <v>2</v>
      </c>
      <c r="C21" s="9" t="s">
        <v>289</v>
      </c>
      <c r="D21" s="9"/>
      <c r="E21" s="9"/>
      <c r="F21" s="9"/>
      <c r="G21" s="9"/>
    </row>
    <row r="22" customFormat="false" ht="15" hidden="false" customHeight="false" outlineLevel="0" collapsed="false">
      <c r="A22" s="22" t="s">
        <v>282</v>
      </c>
      <c r="B22" s="23" t="n">
        <f aca="false">SUM(B17:B21)</f>
        <v>20</v>
      </c>
    </row>
    <row r="24" customFormat="false" ht="15" hidden="false" customHeight="false" outlineLevel="0" collapsed="false">
      <c r="A24" s="27" t="s">
        <v>290</v>
      </c>
    </row>
    <row r="25" customFormat="false" ht="31.5" hidden="false" customHeight="true" outlineLevel="0" collapsed="false">
      <c r="A25" s="4" t="s">
        <v>112</v>
      </c>
      <c r="B25" s="28" t="s">
        <v>126</v>
      </c>
      <c r="C25" s="29" t="s">
        <v>120</v>
      </c>
      <c r="D25" s="30" t="s">
        <v>156</v>
      </c>
      <c r="E25" s="31" t="s">
        <v>166</v>
      </c>
      <c r="F25" s="4" t="s">
        <v>282</v>
      </c>
    </row>
    <row r="26" customFormat="false" ht="15" hidden="false" customHeight="false" outlineLevel="0" collapsed="false">
      <c r="A26" s="22" t="s">
        <v>118</v>
      </c>
      <c r="B26" s="14" t="n">
        <f aca="false">COUNTIFS('Pemetaan Template'!$B$5:$B$96,$A26,'Pemetaan Template'!$F$5:$F$96,B$25)</f>
        <v>10</v>
      </c>
      <c r="C26" s="14" t="n">
        <f aca="false">COUNTIFS('Pemetaan Template'!$B$5:$B$96,$A26,'Pemetaan Template'!$F$5:$F$96,C$25)</f>
        <v>6</v>
      </c>
      <c r="D26" s="14" t="n">
        <f aca="false">COUNTIFS('Pemetaan Template'!$B$5:$B$96,$A26,'Pemetaan Template'!$F$5:$F$96,D$25)</f>
        <v>1</v>
      </c>
      <c r="E26" s="14" t="n">
        <f aca="false">COUNTIFS('Pemetaan Template'!$B$5:$B$96,$A26,'Pemetaan Template'!$F$5:$F$96,E$25)</f>
        <v>0</v>
      </c>
      <c r="F26" s="14" t="n">
        <f aca="false">SUM(B26:E26)</f>
        <v>17</v>
      </c>
    </row>
    <row r="27" customFormat="false" ht="15" hidden="false" customHeight="false" outlineLevel="0" collapsed="false">
      <c r="A27" s="22" t="s">
        <v>161</v>
      </c>
      <c r="B27" s="14" t="n">
        <f aca="false">COUNTIFS('Pemetaan Template'!$B$5:$B$96,$A27,'Pemetaan Template'!$F$5:$F$96,B$25)</f>
        <v>9</v>
      </c>
      <c r="C27" s="14" t="n">
        <f aca="false">COUNTIFS('Pemetaan Template'!$B$5:$B$96,$A27,'Pemetaan Template'!$F$5:$F$96,C$25)</f>
        <v>6</v>
      </c>
      <c r="D27" s="14" t="n">
        <f aca="false">COUNTIFS('Pemetaan Template'!$B$5:$B$96,$A27,'Pemetaan Template'!$F$5:$F$96,D$25)</f>
        <v>3</v>
      </c>
      <c r="E27" s="14" t="n">
        <f aca="false">COUNTIFS('Pemetaan Template'!$B$5:$B$96,$A27,'Pemetaan Template'!$F$5:$F$96,E$25)</f>
        <v>2</v>
      </c>
      <c r="F27" s="14" t="n">
        <f aca="false">SUM(B27:E27)</f>
        <v>20</v>
      </c>
    </row>
    <row r="28" customFormat="false" ht="15" hidden="false" customHeight="false" outlineLevel="0" collapsed="false">
      <c r="A28" s="22" t="s">
        <v>207</v>
      </c>
      <c r="B28" s="14" t="n">
        <f aca="false">COUNTIFS('Pemetaan Template'!$B$5:$B$96,$A28,'Pemetaan Template'!$F$5:$F$96,B$25)</f>
        <v>11</v>
      </c>
      <c r="C28" s="14" t="n">
        <f aca="false">COUNTIFS('Pemetaan Template'!$B$5:$B$96,$A28,'Pemetaan Template'!$F$5:$F$96,C$25)</f>
        <v>1</v>
      </c>
      <c r="D28" s="14" t="n">
        <f aca="false">COUNTIFS('Pemetaan Template'!$B$5:$B$96,$A28,'Pemetaan Template'!$F$5:$F$96,D$25)</f>
        <v>4</v>
      </c>
      <c r="E28" s="14" t="n">
        <f aca="false">COUNTIFS('Pemetaan Template'!$B$5:$B$96,$A28,'Pemetaan Template'!$F$5:$F$96,E$25)</f>
        <v>3</v>
      </c>
      <c r="F28" s="14" t="n">
        <f aca="false">SUM(B28:E28)</f>
        <v>19</v>
      </c>
    </row>
    <row r="29" customFormat="false" ht="15" hidden="false" customHeight="false" outlineLevel="0" collapsed="false">
      <c r="A29" s="22" t="s">
        <v>242</v>
      </c>
      <c r="B29" s="14" t="n">
        <f aca="false">COUNTIFS('Pemetaan Template'!$B$5:$B$96,$A29,'Pemetaan Template'!$F$5:$F$96,B$25)</f>
        <v>8</v>
      </c>
      <c r="C29" s="14" t="n">
        <f aca="false">COUNTIFS('Pemetaan Template'!$B$5:$B$96,$A29,'Pemetaan Template'!$F$5:$F$96,C$25)</f>
        <v>2</v>
      </c>
      <c r="D29" s="14" t="n">
        <f aca="false">COUNTIFS('Pemetaan Template'!$B$5:$B$96,$A29,'Pemetaan Template'!$F$5:$F$96,D$25)</f>
        <v>2</v>
      </c>
      <c r="E29" s="14" t="n">
        <f aca="false">COUNTIFS('Pemetaan Template'!$B$5:$B$96,$A29,'Pemetaan Template'!$F$5:$F$96,E$25)</f>
        <v>2</v>
      </c>
      <c r="F29" s="14" t="n">
        <f aca="false">SUM(B29:E29)</f>
        <v>14</v>
      </c>
    </row>
    <row r="30" customFormat="false" ht="15" hidden="false" customHeight="false" outlineLevel="0" collapsed="false">
      <c r="A30" s="22" t="s">
        <v>269</v>
      </c>
      <c r="B30" s="14" t="n">
        <f aca="false">COUNTIFS('Pemetaan Template'!$B$5:$B$96,$A30,'Pemetaan Template'!$F$5:$F$96,B$25)</f>
        <v>0</v>
      </c>
      <c r="C30" s="14" t="n">
        <f aca="false">COUNTIFS('Pemetaan Template'!$B$5:$B$96,$A30,'Pemetaan Template'!$F$5:$F$96,C$25)</f>
        <v>0</v>
      </c>
      <c r="D30" s="14" t="n">
        <f aca="false">COUNTIFS('Pemetaan Template'!$B$5:$B$96,$A30,'Pemetaan Template'!$F$5:$F$96,D$25)</f>
        <v>0</v>
      </c>
      <c r="E30" s="14" t="n">
        <f aca="false">COUNTIFS('Pemetaan Template'!$B$5:$B$96,$A30,'Pemetaan Template'!$F$5:$F$96,E$25)</f>
        <v>2</v>
      </c>
      <c r="F30" s="14" t="n">
        <f aca="false">SUM(B30:E30)</f>
        <v>2</v>
      </c>
    </row>
    <row r="31" customFormat="false" ht="15" hidden="false" customHeight="false" outlineLevel="0" collapsed="false">
      <c r="A31" s="22" t="s">
        <v>282</v>
      </c>
      <c r="B31" s="23" t="n">
        <f aca="false">SUM(B26:B30)</f>
        <v>38</v>
      </c>
      <c r="C31" s="23" t="n">
        <f aca="false">SUM(C26:C30)</f>
        <v>15</v>
      </c>
      <c r="D31" s="23" t="n">
        <f aca="false">SUM(D26:D30)</f>
        <v>10</v>
      </c>
      <c r="E31" s="23" t="n">
        <f aca="false">SUM(E26:E30)</f>
        <v>9</v>
      </c>
      <c r="F31" s="23" t="n">
        <f aca="false">SUM(F26:F30)</f>
        <v>72</v>
      </c>
    </row>
    <row r="32" customFormat="false" ht="15" hidden="false" customHeight="false" outlineLevel="0" collapsed="false">
      <c r="A32" s="16" t="s">
        <v>291</v>
      </c>
    </row>
  </sheetData>
  <mergeCells count="6">
    <mergeCell ref="C16:G16"/>
    <mergeCell ref="C17:G17"/>
    <mergeCell ref="C18:G18"/>
    <mergeCell ref="C19:G19"/>
    <mergeCell ref="C20:G20"/>
    <mergeCell ref="C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6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292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293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294</v>
      </c>
      <c r="B3" s="3"/>
      <c r="C3" s="3"/>
      <c r="D3" s="3"/>
      <c r="E3" s="3"/>
      <c r="F3" s="3"/>
    </row>
    <row r="4" customFormat="false" ht="31.5" hidden="false" customHeight="true" outlineLevel="0" collapsed="false">
      <c r="A4" s="4" t="s">
        <v>3</v>
      </c>
      <c r="B4" s="4" t="s">
        <v>295</v>
      </c>
      <c r="C4" s="4" t="s">
        <v>296</v>
      </c>
      <c r="D4" s="4" t="s">
        <v>297</v>
      </c>
      <c r="E4" s="4" t="s">
        <v>298</v>
      </c>
      <c r="F4" s="4" t="s">
        <v>299</v>
      </c>
    </row>
    <row r="5" customFormat="false" ht="61.5" hidden="false" customHeight="true" outlineLevel="0" collapsed="false">
      <c r="A5" s="11" t="n">
        <v>1</v>
      </c>
      <c r="B5" s="26" t="s">
        <v>300</v>
      </c>
      <c r="C5" s="7" t="s">
        <v>301</v>
      </c>
      <c r="D5" s="9" t="s">
        <v>302</v>
      </c>
      <c r="E5" s="9" t="s">
        <v>303</v>
      </c>
      <c r="F5" s="10" t="s">
        <v>304</v>
      </c>
    </row>
    <row r="6" customFormat="false" ht="34.5" hidden="false" customHeight="true" outlineLevel="0" collapsed="false">
      <c r="A6" s="11" t="n">
        <v>2</v>
      </c>
      <c r="B6" s="26" t="s">
        <v>300</v>
      </c>
      <c r="C6" s="7" t="s">
        <v>305</v>
      </c>
      <c r="D6" s="9" t="s">
        <v>306</v>
      </c>
      <c r="E6" s="9" t="s">
        <v>307</v>
      </c>
      <c r="F6" s="10" t="s">
        <v>304</v>
      </c>
    </row>
    <row r="7" customFormat="false" ht="75" hidden="false" customHeight="true" outlineLevel="0" collapsed="false">
      <c r="A7" s="11" t="n">
        <v>3</v>
      </c>
      <c r="B7" s="26" t="s">
        <v>300</v>
      </c>
      <c r="C7" s="7" t="s">
        <v>308</v>
      </c>
      <c r="D7" s="9" t="s">
        <v>309</v>
      </c>
      <c r="E7" s="9" t="s">
        <v>310</v>
      </c>
      <c r="F7" s="10" t="s">
        <v>304</v>
      </c>
    </row>
    <row r="8" customFormat="false" ht="34.5" hidden="false" customHeight="true" outlineLevel="0" collapsed="false">
      <c r="A8" s="11" t="n">
        <v>4</v>
      </c>
      <c r="B8" s="26" t="s">
        <v>300</v>
      </c>
      <c r="C8" s="7" t="s">
        <v>311</v>
      </c>
      <c r="D8" s="9" t="s">
        <v>312</v>
      </c>
      <c r="E8" s="9" t="s">
        <v>313</v>
      </c>
      <c r="F8" s="10" t="s">
        <v>314</v>
      </c>
    </row>
    <row r="9" customFormat="false" ht="34.5" hidden="false" customHeight="true" outlineLevel="0" collapsed="false">
      <c r="A9" s="11" t="n">
        <v>5</v>
      </c>
      <c r="B9" s="26" t="s">
        <v>300</v>
      </c>
      <c r="C9" s="7" t="s">
        <v>315</v>
      </c>
      <c r="D9" s="9" t="s">
        <v>316</v>
      </c>
      <c r="E9" s="9" t="s">
        <v>317</v>
      </c>
      <c r="F9" s="10" t="s">
        <v>304</v>
      </c>
    </row>
    <row r="10" customFormat="false" ht="61.5" hidden="false" customHeight="true" outlineLevel="0" collapsed="false">
      <c r="A10" s="11" t="n">
        <v>6</v>
      </c>
      <c r="B10" s="26" t="s">
        <v>300</v>
      </c>
      <c r="C10" s="7" t="s">
        <v>318</v>
      </c>
      <c r="D10" s="9" t="s">
        <v>319</v>
      </c>
      <c r="E10" s="9" t="s">
        <v>320</v>
      </c>
      <c r="F10" s="10" t="s">
        <v>304</v>
      </c>
    </row>
    <row r="11" customFormat="false" ht="34.5" hidden="false" customHeight="true" outlineLevel="0" collapsed="false">
      <c r="A11" s="11" t="n">
        <v>7</v>
      </c>
      <c r="B11" s="26" t="s">
        <v>300</v>
      </c>
      <c r="C11" s="7" t="s">
        <v>321</v>
      </c>
      <c r="D11" s="9" t="s">
        <v>322</v>
      </c>
      <c r="E11" s="9" t="s">
        <v>323</v>
      </c>
      <c r="F11" s="10" t="s">
        <v>324</v>
      </c>
    </row>
    <row r="12" customFormat="false" ht="61.5" hidden="false" customHeight="true" outlineLevel="0" collapsed="false">
      <c r="A12" s="11" t="n">
        <v>8</v>
      </c>
      <c r="B12" s="26" t="s">
        <v>300</v>
      </c>
      <c r="C12" s="7" t="s">
        <v>207</v>
      </c>
      <c r="D12" s="9" t="s">
        <v>325</v>
      </c>
      <c r="E12" s="9" t="s">
        <v>326</v>
      </c>
      <c r="F12" s="10" t="s">
        <v>304</v>
      </c>
    </row>
    <row r="13" customFormat="false" ht="48" hidden="false" customHeight="true" outlineLevel="0" collapsed="false">
      <c r="A13" s="11" t="n">
        <v>9</v>
      </c>
      <c r="B13" s="26" t="s">
        <v>300</v>
      </c>
      <c r="C13" s="7" t="s">
        <v>327</v>
      </c>
      <c r="D13" s="9" t="s">
        <v>328</v>
      </c>
      <c r="E13" s="9" t="s">
        <v>329</v>
      </c>
      <c r="F13" s="10" t="s">
        <v>304</v>
      </c>
    </row>
    <row r="14" customFormat="false" ht="75" hidden="false" customHeight="true" outlineLevel="0" collapsed="false">
      <c r="A14" s="11" t="n">
        <v>10</v>
      </c>
      <c r="B14" s="26" t="s">
        <v>300</v>
      </c>
      <c r="C14" s="7" t="s">
        <v>330</v>
      </c>
      <c r="D14" s="9" t="s">
        <v>331</v>
      </c>
      <c r="E14" s="9" t="s">
        <v>332</v>
      </c>
      <c r="F14" s="10" t="s">
        <v>324</v>
      </c>
    </row>
    <row r="15" customFormat="false" ht="21" hidden="false" customHeight="true" outlineLevel="0" collapsed="false">
      <c r="A15" s="11" t="n">
        <v>11</v>
      </c>
      <c r="B15" s="26" t="s">
        <v>300</v>
      </c>
      <c r="C15" s="7" t="s">
        <v>333</v>
      </c>
      <c r="D15" s="9" t="s">
        <v>192</v>
      </c>
      <c r="E15" s="9" t="s">
        <v>334</v>
      </c>
      <c r="F15" s="10" t="s">
        <v>324</v>
      </c>
    </row>
    <row r="16" customFormat="false" ht="48" hidden="false" customHeight="true" outlineLevel="0" collapsed="false">
      <c r="A16" s="11" t="n">
        <v>12</v>
      </c>
      <c r="B16" s="26" t="s">
        <v>300</v>
      </c>
      <c r="C16" s="7" t="s">
        <v>335</v>
      </c>
      <c r="D16" s="9" t="s">
        <v>192</v>
      </c>
      <c r="E16" s="9" t="s">
        <v>336</v>
      </c>
      <c r="F16" s="10" t="s">
        <v>324</v>
      </c>
    </row>
    <row r="17" customFormat="false" ht="48" hidden="false" customHeight="true" outlineLevel="0" collapsed="false">
      <c r="A17" s="11" t="n">
        <v>13</v>
      </c>
      <c r="B17" s="26" t="s">
        <v>300</v>
      </c>
      <c r="C17" s="7" t="s">
        <v>337</v>
      </c>
      <c r="D17" s="9" t="s">
        <v>192</v>
      </c>
      <c r="E17" s="9" t="s">
        <v>338</v>
      </c>
      <c r="F17" s="10" t="s">
        <v>324</v>
      </c>
    </row>
    <row r="18" customFormat="false" ht="48" hidden="false" customHeight="true" outlineLevel="0" collapsed="false">
      <c r="A18" s="11" t="n">
        <v>14</v>
      </c>
      <c r="B18" s="26" t="s">
        <v>300</v>
      </c>
      <c r="C18" s="7" t="s">
        <v>339</v>
      </c>
      <c r="D18" s="9" t="s">
        <v>340</v>
      </c>
      <c r="E18" s="9" t="s">
        <v>341</v>
      </c>
      <c r="F18" s="10" t="s">
        <v>324</v>
      </c>
    </row>
    <row r="19" customFormat="false" ht="48" hidden="false" customHeight="true" outlineLevel="0" collapsed="false">
      <c r="A19" s="11" t="n">
        <v>15</v>
      </c>
      <c r="B19" s="26" t="s">
        <v>300</v>
      </c>
      <c r="C19" s="7" t="s">
        <v>342</v>
      </c>
      <c r="D19" s="9" t="s">
        <v>192</v>
      </c>
      <c r="E19" s="9" t="s">
        <v>343</v>
      </c>
      <c r="F19" s="10" t="s">
        <v>324</v>
      </c>
    </row>
    <row r="20" customFormat="false" ht="61.5" hidden="false" customHeight="true" outlineLevel="0" collapsed="false">
      <c r="A20" s="11" t="n">
        <v>16</v>
      </c>
      <c r="B20" s="26" t="s">
        <v>344</v>
      </c>
      <c r="C20" s="7" t="s">
        <v>345</v>
      </c>
      <c r="D20" s="9" t="s">
        <v>346</v>
      </c>
      <c r="E20" s="9" t="s">
        <v>347</v>
      </c>
      <c r="F20" s="10" t="s">
        <v>304</v>
      </c>
    </row>
    <row r="21" customFormat="false" ht="34.5" hidden="false" customHeight="true" outlineLevel="0" collapsed="false">
      <c r="A21" s="11" t="n">
        <v>17</v>
      </c>
      <c r="B21" s="26" t="s">
        <v>344</v>
      </c>
      <c r="C21" s="7" t="s">
        <v>348</v>
      </c>
      <c r="D21" s="9" t="s">
        <v>349</v>
      </c>
      <c r="E21" s="9" t="s">
        <v>350</v>
      </c>
      <c r="F21" s="10" t="s">
        <v>304</v>
      </c>
    </row>
    <row r="22" customFormat="false" ht="48" hidden="false" customHeight="true" outlineLevel="0" collapsed="false">
      <c r="A22" s="11" t="n">
        <v>18</v>
      </c>
      <c r="B22" s="26" t="s">
        <v>344</v>
      </c>
      <c r="C22" s="7" t="s">
        <v>351</v>
      </c>
      <c r="D22" s="9" t="s">
        <v>352</v>
      </c>
      <c r="E22" s="9" t="s">
        <v>353</v>
      </c>
      <c r="F22" s="10" t="s">
        <v>304</v>
      </c>
    </row>
    <row r="23" customFormat="false" ht="48" hidden="false" customHeight="true" outlineLevel="0" collapsed="false">
      <c r="A23" s="11" t="n">
        <v>19</v>
      </c>
      <c r="B23" s="26" t="s">
        <v>344</v>
      </c>
      <c r="C23" s="7" t="s">
        <v>354</v>
      </c>
      <c r="D23" s="9" t="s">
        <v>355</v>
      </c>
      <c r="E23" s="9" t="s">
        <v>356</v>
      </c>
      <c r="F23" s="10" t="s">
        <v>314</v>
      </c>
    </row>
    <row r="24" customFormat="false" ht="48" hidden="false" customHeight="true" outlineLevel="0" collapsed="false">
      <c r="A24" s="11" t="n">
        <v>20</v>
      </c>
      <c r="B24" s="26" t="s">
        <v>344</v>
      </c>
      <c r="C24" s="7" t="s">
        <v>357</v>
      </c>
      <c r="D24" s="9" t="s">
        <v>358</v>
      </c>
      <c r="E24" s="9" t="s">
        <v>359</v>
      </c>
      <c r="F24" s="10" t="s">
        <v>304</v>
      </c>
    </row>
    <row r="25" customFormat="false" ht="48" hidden="false" customHeight="true" outlineLevel="0" collapsed="false">
      <c r="A25" s="11" t="n">
        <v>21</v>
      </c>
      <c r="B25" s="26" t="s">
        <v>344</v>
      </c>
      <c r="C25" s="7" t="s">
        <v>360</v>
      </c>
      <c r="D25" s="9" t="s">
        <v>361</v>
      </c>
      <c r="E25" s="9" t="s">
        <v>362</v>
      </c>
      <c r="F25" s="10" t="s">
        <v>304</v>
      </c>
    </row>
    <row r="26" customFormat="false" ht="34.5" hidden="false" customHeight="true" outlineLevel="0" collapsed="false">
      <c r="A26" s="11" t="n">
        <v>22</v>
      </c>
      <c r="B26" s="26" t="s">
        <v>344</v>
      </c>
      <c r="C26" s="7" t="s">
        <v>363</v>
      </c>
      <c r="D26" s="9" t="s">
        <v>364</v>
      </c>
      <c r="E26" s="9" t="s">
        <v>365</v>
      </c>
      <c r="F26" s="10" t="s">
        <v>366</v>
      </c>
    </row>
    <row r="27" customFormat="false" ht="34.5" hidden="false" customHeight="true" outlineLevel="0" collapsed="false">
      <c r="A27" s="11" t="n">
        <v>23</v>
      </c>
      <c r="B27" s="26" t="s">
        <v>344</v>
      </c>
      <c r="C27" s="7" t="s">
        <v>367</v>
      </c>
      <c r="D27" s="9" t="s">
        <v>368</v>
      </c>
      <c r="E27" s="9" t="s">
        <v>369</v>
      </c>
      <c r="F27" s="10" t="s">
        <v>324</v>
      </c>
    </row>
    <row r="28" customFormat="false" ht="48" hidden="false" customHeight="true" outlineLevel="0" collapsed="false">
      <c r="A28" s="11" t="n">
        <v>24</v>
      </c>
      <c r="B28" s="26" t="s">
        <v>344</v>
      </c>
      <c r="C28" s="7" t="s">
        <v>370</v>
      </c>
      <c r="D28" s="9" t="s">
        <v>192</v>
      </c>
      <c r="E28" s="9" t="s">
        <v>371</v>
      </c>
      <c r="F28" s="10" t="s">
        <v>324</v>
      </c>
    </row>
    <row r="29" customFormat="false" ht="34.5" hidden="false" customHeight="true" outlineLevel="0" collapsed="false">
      <c r="A29" s="11" t="n">
        <v>25</v>
      </c>
      <c r="B29" s="26" t="s">
        <v>344</v>
      </c>
      <c r="C29" s="7" t="s">
        <v>372</v>
      </c>
      <c r="D29" s="9" t="s">
        <v>192</v>
      </c>
      <c r="E29" s="9" t="s">
        <v>373</v>
      </c>
      <c r="F29" s="10" t="s">
        <v>324</v>
      </c>
    </row>
    <row r="30" customFormat="false" ht="61.5" hidden="false" customHeight="true" outlineLevel="0" collapsed="false">
      <c r="A30" s="11" t="n">
        <v>26</v>
      </c>
      <c r="B30" s="26" t="s">
        <v>374</v>
      </c>
      <c r="C30" s="7" t="s">
        <v>375</v>
      </c>
      <c r="D30" s="9" t="s">
        <v>376</v>
      </c>
      <c r="E30" s="9" t="s">
        <v>377</v>
      </c>
      <c r="F30" s="10" t="s">
        <v>304</v>
      </c>
    </row>
    <row r="31" customFormat="false" ht="34.5" hidden="false" customHeight="true" outlineLevel="0" collapsed="false">
      <c r="A31" s="11" t="n">
        <v>27</v>
      </c>
      <c r="B31" s="26" t="s">
        <v>374</v>
      </c>
      <c r="C31" s="7" t="s">
        <v>14</v>
      </c>
      <c r="D31" s="9" t="s">
        <v>378</v>
      </c>
      <c r="E31" s="9" t="s">
        <v>379</v>
      </c>
      <c r="F31" s="10" t="s">
        <v>314</v>
      </c>
    </row>
    <row r="32" customFormat="false" ht="34.5" hidden="false" customHeight="true" outlineLevel="0" collapsed="false">
      <c r="A32" s="11" t="n">
        <v>28</v>
      </c>
      <c r="B32" s="26" t="s">
        <v>374</v>
      </c>
      <c r="C32" s="7" t="s">
        <v>380</v>
      </c>
      <c r="D32" s="9" t="s">
        <v>381</v>
      </c>
      <c r="E32" s="9" t="s">
        <v>382</v>
      </c>
      <c r="F32" s="10" t="s">
        <v>304</v>
      </c>
    </row>
    <row r="33" customFormat="false" ht="48" hidden="false" customHeight="true" outlineLevel="0" collapsed="false">
      <c r="A33" s="11" t="n">
        <v>29</v>
      </c>
      <c r="B33" s="26" t="s">
        <v>374</v>
      </c>
      <c r="C33" s="7" t="s">
        <v>383</v>
      </c>
      <c r="D33" s="9" t="s">
        <v>378</v>
      </c>
      <c r="E33" s="9" t="s">
        <v>384</v>
      </c>
      <c r="F33" s="10" t="s">
        <v>314</v>
      </c>
    </row>
    <row r="34" customFormat="false" ht="34.5" hidden="false" customHeight="true" outlineLevel="0" collapsed="false">
      <c r="A34" s="11" t="n">
        <v>30</v>
      </c>
      <c r="B34" s="26" t="s">
        <v>374</v>
      </c>
      <c r="C34" s="7" t="s">
        <v>385</v>
      </c>
      <c r="D34" s="9" t="s">
        <v>386</v>
      </c>
      <c r="E34" s="9" t="s">
        <v>387</v>
      </c>
      <c r="F34" s="10" t="s">
        <v>304</v>
      </c>
    </row>
    <row r="35" customFormat="false" ht="34.5" hidden="false" customHeight="true" outlineLevel="0" collapsed="false">
      <c r="A35" s="11" t="n">
        <v>31</v>
      </c>
      <c r="B35" s="26" t="s">
        <v>374</v>
      </c>
      <c r="C35" s="7" t="s">
        <v>388</v>
      </c>
      <c r="D35" s="9" t="s">
        <v>389</v>
      </c>
      <c r="E35" s="9" t="s">
        <v>390</v>
      </c>
      <c r="F35" s="10" t="s">
        <v>304</v>
      </c>
    </row>
    <row r="36" customFormat="false" ht="34.5" hidden="false" customHeight="true" outlineLevel="0" collapsed="false">
      <c r="A36" s="11" t="n">
        <v>32</v>
      </c>
      <c r="B36" s="26" t="s">
        <v>374</v>
      </c>
      <c r="C36" s="7" t="s">
        <v>391</v>
      </c>
      <c r="D36" s="9" t="s">
        <v>378</v>
      </c>
      <c r="E36" s="9" t="s">
        <v>392</v>
      </c>
      <c r="F36" s="10" t="s">
        <v>314</v>
      </c>
    </row>
    <row r="37" customFormat="false" ht="34.5" hidden="false" customHeight="true" outlineLevel="0" collapsed="false">
      <c r="A37" s="11" t="n">
        <v>33</v>
      </c>
      <c r="B37" s="26" t="s">
        <v>374</v>
      </c>
      <c r="C37" s="7" t="s">
        <v>393</v>
      </c>
      <c r="D37" s="9" t="s">
        <v>394</v>
      </c>
      <c r="E37" s="9" t="s">
        <v>395</v>
      </c>
      <c r="F37" s="10" t="s">
        <v>304</v>
      </c>
    </row>
    <row r="38" customFormat="false" ht="34.5" hidden="false" customHeight="true" outlineLevel="0" collapsed="false">
      <c r="A38" s="11" t="n">
        <v>34</v>
      </c>
      <c r="B38" s="26" t="s">
        <v>374</v>
      </c>
      <c r="C38" s="7" t="s">
        <v>321</v>
      </c>
      <c r="D38" s="9" t="s">
        <v>396</v>
      </c>
      <c r="E38" s="9" t="s">
        <v>397</v>
      </c>
      <c r="F38" s="10" t="s">
        <v>366</v>
      </c>
    </row>
    <row r="39" customFormat="false" ht="34.5" hidden="false" customHeight="true" outlineLevel="0" collapsed="false">
      <c r="A39" s="11" t="n">
        <v>35</v>
      </c>
      <c r="B39" s="26" t="s">
        <v>374</v>
      </c>
      <c r="C39" s="7" t="s">
        <v>72</v>
      </c>
      <c r="D39" s="9" t="s">
        <v>398</v>
      </c>
      <c r="E39" s="9" t="s">
        <v>399</v>
      </c>
      <c r="F39" s="10" t="s">
        <v>324</v>
      </c>
    </row>
    <row r="40" customFormat="false" ht="34.5" hidden="false" customHeight="true" outlineLevel="0" collapsed="false">
      <c r="A40" s="11" t="n">
        <v>36</v>
      </c>
      <c r="B40" s="26" t="s">
        <v>374</v>
      </c>
      <c r="C40" s="7" t="s">
        <v>400</v>
      </c>
      <c r="D40" s="9" t="s">
        <v>401</v>
      </c>
      <c r="E40" s="9" t="s">
        <v>402</v>
      </c>
      <c r="F40" s="10" t="s">
        <v>324</v>
      </c>
    </row>
    <row r="41" customFormat="false" ht="21" hidden="false" customHeight="true" outlineLevel="0" collapsed="false">
      <c r="A41" s="11" t="n">
        <v>37</v>
      </c>
      <c r="B41" s="26" t="s">
        <v>374</v>
      </c>
      <c r="C41" s="7" t="s">
        <v>403</v>
      </c>
      <c r="D41" s="9" t="s">
        <v>404</v>
      </c>
      <c r="E41" s="9" t="s">
        <v>405</v>
      </c>
      <c r="F41" s="10" t="s">
        <v>324</v>
      </c>
    </row>
    <row r="42" customFormat="false" ht="34.5" hidden="false" customHeight="true" outlineLevel="0" collapsed="false">
      <c r="A42" s="11" t="n">
        <v>38</v>
      </c>
      <c r="B42" s="26" t="s">
        <v>374</v>
      </c>
      <c r="C42" s="7" t="s">
        <v>406</v>
      </c>
      <c r="D42" s="9" t="s">
        <v>407</v>
      </c>
      <c r="E42" s="9" t="s">
        <v>408</v>
      </c>
      <c r="F42" s="10" t="s">
        <v>324</v>
      </c>
    </row>
    <row r="43" customFormat="false" ht="34.5" hidden="false" customHeight="true" outlineLevel="0" collapsed="false">
      <c r="A43" s="11" t="n">
        <v>39</v>
      </c>
      <c r="B43" s="26" t="s">
        <v>374</v>
      </c>
      <c r="C43" s="7" t="s">
        <v>409</v>
      </c>
      <c r="D43" s="9" t="s">
        <v>410</v>
      </c>
      <c r="E43" s="9" t="s">
        <v>411</v>
      </c>
      <c r="F43" s="10" t="s">
        <v>366</v>
      </c>
    </row>
    <row r="44" customFormat="false" ht="48" hidden="false" customHeight="true" outlineLevel="0" collapsed="false">
      <c r="A44" s="11" t="n">
        <v>40</v>
      </c>
      <c r="B44" s="26" t="s">
        <v>374</v>
      </c>
      <c r="C44" s="7" t="s">
        <v>412</v>
      </c>
      <c r="D44" s="9" t="s">
        <v>413</v>
      </c>
      <c r="E44" s="9" t="s">
        <v>414</v>
      </c>
      <c r="F44" s="10" t="s">
        <v>304</v>
      </c>
    </row>
    <row r="45" customFormat="false" ht="61.5" hidden="false" customHeight="true" outlineLevel="0" collapsed="false">
      <c r="A45" s="11" t="n">
        <v>41</v>
      </c>
      <c r="B45" s="26" t="s">
        <v>374</v>
      </c>
      <c r="C45" s="7" t="s">
        <v>415</v>
      </c>
      <c r="D45" s="9" t="s">
        <v>192</v>
      </c>
      <c r="E45" s="9" t="s">
        <v>416</v>
      </c>
      <c r="F45" s="10" t="s">
        <v>324</v>
      </c>
    </row>
  </sheetData>
  <autoFilter ref="A4:F45"/>
  <mergeCells count="3">
    <mergeCell ref="A1:F1"/>
    <mergeCell ref="A2:F2"/>
    <mergeCell ref="A3:F3"/>
  </mergeCells>
  <conditionalFormatting sqref="F5:F65">
    <cfRule type="cellIs" priority="2" operator="equal" aboveAverage="0" equalAverage="0" bottom="0" percent="0" rank="0" text="" dxfId="14">
      <formula>"Baru"</formula>
    </cfRule>
    <cfRule type="cellIs" priority="3" operator="equal" aboveAverage="0" equalAverage="0" bottom="0" percent="0" rank="0" text="" dxfId="23">
      <formula>"Diubah"</formula>
    </cfRule>
    <cfRule type="cellIs" priority="4" operator="equal" aboveAverage="0" equalAverage="0" bottom="0" percent="0" rank="0" text="" dxfId="20">
      <formula>"Dihapus"</formula>
    </cfRule>
    <cfRule type="cellIs" priority="5" operator="equal" aboveAverage="0" equalAverage="0" bottom="0" percent="0" rank="0" text="" dxfId="15">
      <formula>"Perlu Konfirmasi"</formula>
    </cfRule>
  </conditionalFormatting>
  <dataValidations count="1">
    <dataValidation allowBlank="true" errorStyle="stop" operator="between" showDropDown="false" showErrorMessage="false" showInputMessage="false" sqref="F5:F65" type="list">
      <formula1>"Baru,Diubah,Dihapus,Perlu Konfirmasi"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2026-10-01T08:24:13Z</dcterms:created>
  <dc:creator>openpyxl</dc:creator>
  <dc:description/>
  <dc:language>en-US</dc:language>
  <cp:lastModifiedBy/>
  <dcterms:modified xsi:type="dcterms:W3CDTF">2026-10-01T08:24:13Z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